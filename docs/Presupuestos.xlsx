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viedo-my.sharepoint.com/personal/uo287747_uniovi_es/Documents/TFG/Entregable TFG/"/>
    </mc:Choice>
  </mc:AlternateContent>
  <xr:revisionPtr revIDLastSave="1174" documentId="8_{6B3A7059-440F-4C1F-A45D-0AC8440E5979}" xr6:coauthVersionLast="47" xr6:coauthVersionMax="47" xr10:uidLastSave="{CF11975C-E016-42CF-9D70-9F785704B33C}"/>
  <bookViews>
    <workbookView xWindow="28695" yWindow="-6090" windowWidth="16410" windowHeight="14145" xr2:uid="{8BE27E42-DE38-42B6-AAB7-1835107048BE}"/>
  </bookViews>
  <sheets>
    <sheet name="Definición de la empresa" sheetId="1" r:id="rId1"/>
    <sheet name="Partida 1 - Gestión proyecto" sheetId="2" r:id="rId2"/>
    <sheet name="Partida 2 - Análisis sistema" sheetId="3" r:id="rId3"/>
    <sheet name="Partida 3 - Desarrollo" sheetId="4" r:id="rId4"/>
    <sheet name="Partida 4 - Despliegue" sheetId="5" r:id="rId5"/>
    <sheet name="Partida 5 - Material" sheetId="6" r:id="rId6"/>
    <sheet name="Partida 6 - Otros costes" sheetId="7" r:id="rId7"/>
    <sheet name="Presupuesto de costes" sheetId="9" r:id="rId8"/>
    <sheet name="Presupuesto de cliente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" i="8" l="1"/>
  <c r="I6" i="1"/>
  <c r="I5" i="1"/>
  <c r="I4" i="1"/>
  <c r="I3" i="1"/>
  <c r="C7" i="8"/>
  <c r="C6" i="8"/>
  <c r="C5" i="8"/>
  <c r="C4" i="8"/>
  <c r="C10" i="8" l="1"/>
  <c r="C9" i="9"/>
  <c r="C8" i="9"/>
  <c r="C7" i="9"/>
  <c r="C6" i="9"/>
  <c r="C5" i="9"/>
  <c r="C4" i="9"/>
  <c r="C11" i="9" s="1"/>
  <c r="H7" i="7"/>
  <c r="H9" i="7"/>
  <c r="H10" i="7"/>
  <c r="H12" i="7"/>
  <c r="H13" i="7"/>
  <c r="H17" i="7"/>
  <c r="H18" i="7"/>
  <c r="H19" i="7"/>
  <c r="H21" i="7"/>
  <c r="H22" i="7"/>
  <c r="H23" i="7"/>
  <c r="H6" i="7"/>
  <c r="I4" i="7" s="1"/>
  <c r="G21" i="7"/>
  <c r="G17" i="7"/>
  <c r="G23" i="7"/>
  <c r="G22" i="7"/>
  <c r="G19" i="7"/>
  <c r="G18" i="7"/>
  <c r="G13" i="7"/>
  <c r="G12" i="7"/>
  <c r="G10" i="7"/>
  <c r="G9" i="7"/>
  <c r="G7" i="7"/>
  <c r="G6" i="7"/>
  <c r="H24" i="6"/>
  <c r="G24" i="6"/>
  <c r="H6" i="6"/>
  <c r="H7" i="6"/>
  <c r="H8" i="6"/>
  <c r="H9" i="6"/>
  <c r="H5" i="6"/>
  <c r="I4" i="5"/>
  <c r="I10" i="5"/>
  <c r="I20" i="5"/>
  <c r="I30" i="5"/>
  <c r="G29" i="5"/>
  <c r="G26" i="5"/>
  <c r="G23" i="5"/>
  <c r="H23" i="5" s="1"/>
  <c r="G16" i="5"/>
  <c r="G13" i="5"/>
  <c r="G28" i="5"/>
  <c r="H28" i="5" s="1"/>
  <c r="G25" i="5"/>
  <c r="G22" i="5"/>
  <c r="G18" i="5"/>
  <c r="G15" i="5"/>
  <c r="H15" i="5" s="1"/>
  <c r="G12" i="5"/>
  <c r="G8" i="5"/>
  <c r="G6" i="5"/>
  <c r="H6" i="5" s="1"/>
  <c r="H8" i="5"/>
  <c r="H12" i="5"/>
  <c r="H13" i="5"/>
  <c r="H16" i="5"/>
  <c r="H18" i="5"/>
  <c r="H22" i="5"/>
  <c r="H25" i="5"/>
  <c r="H26" i="5"/>
  <c r="H29" i="5"/>
  <c r="I30" i="4"/>
  <c r="H6" i="4"/>
  <c r="H7" i="4"/>
  <c r="H10" i="4"/>
  <c r="H11" i="4"/>
  <c r="H12" i="4"/>
  <c r="H13" i="4"/>
  <c r="H16" i="4"/>
  <c r="H17" i="4"/>
  <c r="H18" i="4"/>
  <c r="H19" i="4"/>
  <c r="I15" i="4" s="1"/>
  <c r="H22" i="4"/>
  <c r="H23" i="4"/>
  <c r="H24" i="4"/>
  <c r="H27" i="4"/>
  <c r="H28" i="4"/>
  <c r="H29" i="4"/>
  <c r="G27" i="4"/>
  <c r="G19" i="4"/>
  <c r="G13" i="4"/>
  <c r="G29" i="4"/>
  <c r="G28" i="4"/>
  <c r="G24" i="4"/>
  <c r="G23" i="4"/>
  <c r="G18" i="4"/>
  <c r="G17" i="4"/>
  <c r="G12" i="4"/>
  <c r="G11" i="4"/>
  <c r="G7" i="4"/>
  <c r="G6" i="4"/>
  <c r="G22" i="4"/>
  <c r="G16" i="4"/>
  <c r="G10" i="4"/>
  <c r="G5" i="4"/>
  <c r="H5" i="4"/>
  <c r="H24" i="3"/>
  <c r="H26" i="3"/>
  <c r="H30" i="3"/>
  <c r="H32" i="3"/>
  <c r="H34" i="3"/>
  <c r="H38" i="3"/>
  <c r="H40" i="3"/>
  <c r="H6" i="3"/>
  <c r="G34" i="3"/>
  <c r="G32" i="3"/>
  <c r="G30" i="3"/>
  <c r="G40" i="3"/>
  <c r="G38" i="3"/>
  <c r="G26" i="3"/>
  <c r="G24" i="3"/>
  <c r="G22" i="3"/>
  <c r="H22" i="3" s="1"/>
  <c r="G20" i="3"/>
  <c r="H20" i="3" s="1"/>
  <c r="G18" i="3"/>
  <c r="H18" i="3" s="1"/>
  <c r="G16" i="3"/>
  <c r="H16" i="3" s="1"/>
  <c r="G14" i="3"/>
  <c r="H14" i="3" s="1"/>
  <c r="G10" i="3"/>
  <c r="H10" i="3" s="1"/>
  <c r="G8" i="3"/>
  <c r="H8" i="3" s="1"/>
  <c r="G6" i="3"/>
  <c r="L4" i="1"/>
  <c r="M4" i="1" s="1"/>
  <c r="M7" i="1" s="1"/>
  <c r="L5" i="1"/>
  <c r="M5" i="1" s="1"/>
  <c r="L6" i="1"/>
  <c r="M6" i="1" s="1"/>
  <c r="L3" i="1"/>
  <c r="M3" i="1" s="1"/>
  <c r="C7" i="1"/>
  <c r="C12" i="9" l="1"/>
  <c r="C14" i="9" s="1"/>
  <c r="I15" i="7"/>
  <c r="I24" i="7"/>
  <c r="I25" i="4"/>
  <c r="I21" i="4"/>
  <c r="I9" i="4"/>
  <c r="I4" i="4"/>
  <c r="I36" i="3"/>
  <c r="I28" i="3"/>
  <c r="I12" i="3"/>
  <c r="I41" i="3" s="1"/>
  <c r="I4" i="3"/>
  <c r="F4" i="1"/>
  <c r="F5" i="1"/>
  <c r="F6" i="1"/>
  <c r="F3" i="1"/>
  <c r="F7" i="1" l="1"/>
  <c r="H3" i="1"/>
  <c r="N3" i="1" s="1"/>
  <c r="J3" i="1"/>
  <c r="H6" i="1"/>
  <c r="N6" i="1" s="1"/>
  <c r="J6" i="1"/>
  <c r="H5" i="1"/>
  <c r="N5" i="1" s="1"/>
  <c r="J5" i="1"/>
  <c r="H4" i="1"/>
  <c r="N4" i="1" s="1"/>
  <c r="J4" i="1"/>
  <c r="G20" i="2" l="1"/>
  <c r="H20" i="2" s="1"/>
  <c r="G32" i="2"/>
  <c r="H32" i="2" s="1"/>
  <c r="G27" i="2"/>
  <c r="H27" i="2" s="1"/>
  <c r="G13" i="2"/>
  <c r="H13" i="2" s="1"/>
  <c r="G30" i="2"/>
  <c r="H30" i="2" s="1"/>
  <c r="G26" i="2"/>
  <c r="H26" i="2" s="1"/>
  <c r="G18" i="2"/>
  <c r="H18" i="2" s="1"/>
  <c r="G11" i="2"/>
  <c r="H11" i="2" s="1"/>
  <c r="G31" i="2"/>
  <c r="H31" i="2" s="1"/>
  <c r="I29" i="2" s="1"/>
  <c r="G25" i="2"/>
  <c r="H25" i="2" s="1"/>
  <c r="G19" i="2"/>
  <c r="H19" i="2" s="1"/>
  <c r="G12" i="2"/>
  <c r="H12" i="2" s="1"/>
  <c r="G36" i="2"/>
  <c r="H36" i="2" s="1"/>
  <c r="G17" i="2"/>
  <c r="H17" i="2" s="1"/>
  <c r="G10" i="2"/>
  <c r="H10" i="2" s="1"/>
  <c r="G6" i="2"/>
  <c r="H6" i="2" s="1"/>
  <c r="G24" i="2"/>
  <c r="H24" i="2" s="1"/>
  <c r="G39" i="2"/>
  <c r="H39" i="2" s="1"/>
  <c r="I38" i="2" s="1"/>
  <c r="G23" i="2"/>
  <c r="H23" i="2" s="1"/>
  <c r="G5" i="2"/>
  <c r="H5" i="2" s="1"/>
  <c r="G16" i="2"/>
  <c r="H16" i="2" s="1"/>
  <c r="G9" i="2"/>
  <c r="H9" i="2" s="1"/>
  <c r="G35" i="2"/>
  <c r="H35" i="2" s="1"/>
  <c r="J7" i="1"/>
  <c r="H7" i="1"/>
  <c r="I34" i="2" l="1"/>
  <c r="I22" i="2"/>
  <c r="I8" i="2"/>
  <c r="I15" i="2"/>
  <c r="I4" i="2"/>
  <c r="I40" i="2" s="1"/>
</calcChain>
</file>

<file path=xl/sharedStrings.xml><?xml version="1.0" encoding="utf-8"?>
<sst xmlns="http://schemas.openxmlformats.org/spreadsheetml/2006/main" count="253" uniqueCount="117">
  <si>
    <t>Num</t>
  </si>
  <si>
    <t>Sueldo bruto/año (€)</t>
  </si>
  <si>
    <t>Coste salarial/año (€)</t>
  </si>
  <si>
    <t>TOTAL (€)</t>
  </si>
  <si>
    <t>Productividad</t>
  </si>
  <si>
    <t>Coste Directo (€)</t>
  </si>
  <si>
    <t>CI</t>
  </si>
  <si>
    <t>Coste Indirecto (€)</t>
  </si>
  <si>
    <t>Horas/año</t>
  </si>
  <si>
    <t>Horas productivas/año persona</t>
  </si>
  <si>
    <t>Horas productivas totales</t>
  </si>
  <si>
    <t>Precio hora (€)</t>
  </si>
  <si>
    <t>Jefe de Proyecto</t>
  </si>
  <si>
    <t>Arquitecto de Software</t>
  </si>
  <si>
    <t>Tester</t>
  </si>
  <si>
    <t>TOTAL</t>
  </si>
  <si>
    <t>Ingeniero de Software</t>
  </si>
  <si>
    <t>Gestión del proyecto</t>
  </si>
  <si>
    <t>I 1</t>
  </si>
  <si>
    <t>I 2</t>
  </si>
  <si>
    <t>I3</t>
  </si>
  <si>
    <t>Descripción</t>
  </si>
  <si>
    <t>Unidades</t>
  </si>
  <si>
    <t>Precio (€)</t>
  </si>
  <si>
    <t>Total</t>
  </si>
  <si>
    <t>Horas</t>
  </si>
  <si>
    <t>Coste/hora</t>
  </si>
  <si>
    <t>Gestión de Proyecto e Inicio</t>
  </si>
  <si>
    <t>Análisis de requisitos</t>
  </si>
  <si>
    <t>Ingeniero de Software 1</t>
  </si>
  <si>
    <t>Ingeniero de Software 2</t>
  </si>
  <si>
    <t>Diseño y Arquitectura</t>
  </si>
  <si>
    <t>Seguimiento y Control</t>
  </si>
  <si>
    <t>Documentación</t>
  </si>
  <si>
    <t>Cierre del Proyecto</t>
  </si>
  <si>
    <t>Pruebas</t>
  </si>
  <si>
    <t>Análisis del sistema</t>
  </si>
  <si>
    <t>Captura de requisitos</t>
  </si>
  <si>
    <t>Reuniones con el cliente</t>
  </si>
  <si>
    <t>Análisis de necesidades</t>
  </si>
  <si>
    <t>Validación de requisitos</t>
  </si>
  <si>
    <t>Análisis funcional</t>
  </si>
  <si>
    <t>Gestión de usuarios</t>
  </si>
  <si>
    <t>Sistema de publicaciones</t>
  </si>
  <si>
    <t>Sistema de compras</t>
  </si>
  <si>
    <t>Sistema de intercambios</t>
  </si>
  <si>
    <t>Sistema de reviews</t>
  </si>
  <si>
    <t>Sistema de favoritos</t>
  </si>
  <si>
    <t>Sistema de carrito</t>
  </si>
  <si>
    <t>Diseño de datos</t>
  </si>
  <si>
    <t>Modelo entidad-relación</t>
  </si>
  <si>
    <t>Revisión modelo BD</t>
  </si>
  <si>
    <t>Diseño migraciones Flyway</t>
  </si>
  <si>
    <t>Análisis de seguridad</t>
  </si>
  <si>
    <t>Roles y permisos</t>
  </si>
  <si>
    <t>JWT y autenticación</t>
  </si>
  <si>
    <t>Desarrollo</t>
  </si>
  <si>
    <t>Base de Datos y Persistencia</t>
  </si>
  <si>
    <t>Backend Spring Boot</t>
  </si>
  <si>
    <t>Frontend Angular</t>
  </si>
  <si>
    <t>Seguridad JWT y Roles</t>
  </si>
  <si>
    <t>Pruebas Unitarias e Integración</t>
  </si>
  <si>
    <t>Docker Backend</t>
  </si>
  <si>
    <t>Contenerización</t>
  </si>
  <si>
    <t>Docker Frontend</t>
  </si>
  <si>
    <t>CI/CD</t>
  </si>
  <si>
    <t>GitHub Actions Backend</t>
  </si>
  <si>
    <t>GitHub Actions Frontend</t>
  </si>
  <si>
    <t>Validación pipeline</t>
  </si>
  <si>
    <t>Producción</t>
  </si>
  <si>
    <t>Despliegue Render</t>
  </si>
  <si>
    <t>PostgreSQL Producción</t>
  </si>
  <si>
    <t>Verificación despliegue</t>
  </si>
  <si>
    <t>Despliegue</t>
  </si>
  <si>
    <t>Material</t>
  </si>
  <si>
    <t>Equipos informáticos</t>
  </si>
  <si>
    <t>Equipo JP</t>
  </si>
  <si>
    <t>Equipo Arquitecto</t>
  </si>
  <si>
    <t>Equipo Ingeniero de Software 1</t>
  </si>
  <si>
    <t>Equipo Ingeniero de Software 2</t>
  </si>
  <si>
    <t>Equipo Tester</t>
  </si>
  <si>
    <t>Infraestructura cloud</t>
  </si>
  <si>
    <t>Hosting Frontend</t>
  </si>
  <si>
    <t>Hosting Backend</t>
  </si>
  <si>
    <t>PostgreSQL</t>
  </si>
  <si>
    <t>Dominio y certificados</t>
  </si>
  <si>
    <t>Dominio GameSwap</t>
  </si>
  <si>
    <t>Certificados SSL</t>
  </si>
  <si>
    <t>IGDB</t>
  </si>
  <si>
    <t>Keys APIs externas</t>
  </si>
  <si>
    <t>Stripe</t>
  </si>
  <si>
    <t>Sonar Cloud</t>
  </si>
  <si>
    <t>Coste total (€)</t>
  </si>
  <si>
    <t>Tipo</t>
  </si>
  <si>
    <t>Años</t>
  </si>
  <si>
    <t>Amortización</t>
  </si>
  <si>
    <t>Alquiler</t>
  </si>
  <si>
    <t>Compra</t>
  </si>
  <si>
    <t>Coste anual</t>
  </si>
  <si>
    <t>Costes</t>
  </si>
  <si>
    <t>Partida</t>
  </si>
  <si>
    <t>Formación</t>
  </si>
  <si>
    <t>Formación Angular</t>
  </si>
  <si>
    <t>Formación Spring Boot</t>
  </si>
  <si>
    <t>Formación DevOps</t>
  </si>
  <si>
    <t>Documentación Final</t>
  </si>
  <si>
    <t>Memoria técnica</t>
  </si>
  <si>
    <t>Manual usuario</t>
  </si>
  <si>
    <t>Gestión del Proyecto</t>
  </si>
  <si>
    <t>Análisis del Sistema</t>
  </si>
  <si>
    <t>Otros costes</t>
  </si>
  <si>
    <t>Presupuesto de costes</t>
  </si>
  <si>
    <t>Coste</t>
  </si>
  <si>
    <t>Coste de las partidas</t>
  </si>
  <si>
    <t>Beneficio empresarial 20%</t>
  </si>
  <si>
    <t>Precio de venta al cliente</t>
  </si>
  <si>
    <t>Presupuesto de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</si>
</sst>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\ &quot;€&quot;"/>
    <numFmt numFmtId="165" formatCode="_-* #,##0.00\ [$€-C0A]_-;\-* #,##0.00\ [$€-C0A]_-;_-* &quot;-&quot;??\ [$€-C0A]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3">
    <xf numFmtId="0" fontId="0" fillId="0" borderId="0" xfId="0"/>
    <xf numFmtId="3" fontId="0" fillId="3" borderId="1" xfId="0" applyNumberFormat="1" applyFill="1" applyBorder="1" applyAlignment="1">
      <alignment horizontal="center" vertical="center"/>
    </xf>
    <xf numFmtId="0" fontId="2" fillId="2" borderId="1" xfId="0" applyFont="1" applyFill="1" applyBorder="1"/>
    <xf numFmtId="3" fontId="3" fillId="3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5" fontId="0" fillId="0" borderId="0" xfId="0" applyNumberFormat="1"/>
    <xf numFmtId="165" fontId="2" fillId="4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left" vertical="top"/>
    </xf>
    <xf numFmtId="3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left" vertical="top" indent="2"/>
    </xf>
    <xf numFmtId="3" fontId="0" fillId="0" borderId="1" xfId="0" applyNumberFormat="1" applyBorder="1" applyAlignment="1">
      <alignment horizontal="left" vertical="top" indent="4"/>
    </xf>
    <xf numFmtId="0" fontId="0" fillId="0" borderId="1" xfId="0" applyBorder="1" applyAlignment="1">
      <alignment horizontal="center" vertical="center"/>
    </xf>
    <xf numFmtId="164" fontId="0" fillId="0" borderId="1" xfId="4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3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left" vertical="top"/>
    </xf>
    <xf numFmtId="3" fontId="0" fillId="0" borderId="1" xfId="0" applyNumberFormat="1" applyFont="1" applyBorder="1" applyAlignment="1">
      <alignment horizontal="left" vertical="top" indent="2"/>
    </xf>
    <xf numFmtId="3" fontId="0" fillId="2" borderId="1" xfId="0" applyNumberFormat="1" applyFill="1" applyBorder="1" applyAlignment="1">
      <alignment horizontal="left" vertical="top" indent="2"/>
    </xf>
    <xf numFmtId="164" fontId="0" fillId="2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left" vertical="top" indent="4"/>
    </xf>
  </cellXfs>
  <cellStyles count="5">
    <cellStyle name="Millares 2" xfId="2" xr:uid="{99FBB0F7-259B-4A84-AF45-831E161D1A1C}"/>
    <cellStyle name="Moneda 2" xfId="3" xr:uid="{4249D58F-6002-4750-A1B7-D6B763E4ED9D}"/>
    <cellStyle name="Moneda 3" xfId="4" xr:uid="{95B10C31-D630-48E9-B8E0-1D73BA46C096}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6A369-F5C4-4E64-AC8A-846501CD9992}">
  <dimension ref="B2:N7"/>
  <sheetViews>
    <sheetView tabSelected="1" zoomScaleNormal="100" workbookViewId="0">
      <selection activeCell="B3" sqref="B3"/>
    </sheetView>
  </sheetViews>
  <sheetFormatPr baseColWidth="10" defaultRowHeight="15" x14ac:dyDescent="0.25"/>
  <cols>
    <col min="2" max="2" width="24.85546875" customWidth="1"/>
    <col min="4" max="11" width="14.42578125" customWidth="1"/>
    <col min="12" max="12" width="15.85546875" customWidth="1"/>
    <col min="13" max="14" width="14.42578125" customWidth="1"/>
  </cols>
  <sheetData>
    <row r="2" spans="2:14" ht="45" x14ac:dyDescent="0.25">
      <c r="B2" s="2"/>
      <c r="C2" s="7" t="s">
        <v>0</v>
      </c>
      <c r="D2" s="7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4" t="s">
        <v>8</v>
      </c>
      <c r="L2" s="4" t="s">
        <v>9</v>
      </c>
      <c r="M2" s="4" t="s">
        <v>10</v>
      </c>
      <c r="N2" s="4" t="s">
        <v>11</v>
      </c>
    </row>
    <row r="3" spans="2:14" x14ac:dyDescent="0.25">
      <c r="B3" s="2" t="s">
        <v>12</v>
      </c>
      <c r="C3" s="15">
        <v>1</v>
      </c>
      <c r="D3" s="16">
        <v>75000</v>
      </c>
      <c r="E3" s="17">
        <v>90527.17</v>
      </c>
      <c r="F3" s="17">
        <f>E3*C3</f>
        <v>90527.17</v>
      </c>
      <c r="G3" s="18">
        <v>0.7</v>
      </c>
      <c r="H3" s="16">
        <f>F3*G3</f>
        <v>63369.018999999993</v>
      </c>
      <c r="I3" s="19">
        <f>100%-G3</f>
        <v>0.30000000000000004</v>
      </c>
      <c r="J3" s="17">
        <f>F3*I3</f>
        <v>27158.151000000005</v>
      </c>
      <c r="K3" s="11">
        <v>1756</v>
      </c>
      <c r="L3" s="11">
        <f>K3*G3</f>
        <v>1229.1999999999998</v>
      </c>
      <c r="M3" s="11">
        <f>L3*C3</f>
        <v>1229.1999999999998</v>
      </c>
      <c r="N3" s="17">
        <f>(H3/C3+$F$43/(1/M3*C3))/L3</f>
        <v>51.55305808656037</v>
      </c>
    </row>
    <row r="4" spans="2:14" x14ac:dyDescent="0.25">
      <c r="B4" s="2" t="s">
        <v>13</v>
      </c>
      <c r="C4" s="15">
        <v>1</v>
      </c>
      <c r="D4" s="16">
        <v>58000</v>
      </c>
      <c r="E4" s="17">
        <v>73374.17</v>
      </c>
      <c r="F4" s="17">
        <f t="shared" ref="F4:F6" si="0">E4*C4</f>
        <v>73374.17</v>
      </c>
      <c r="G4" s="18">
        <v>0.75</v>
      </c>
      <c r="H4" s="16">
        <f t="shared" ref="H4:H6" si="1">F4*G4</f>
        <v>55030.627500000002</v>
      </c>
      <c r="I4" s="19">
        <f t="shared" ref="I4:I6" si="2">100%-G4</f>
        <v>0.25</v>
      </c>
      <c r="J4" s="17">
        <f t="shared" ref="J4:J6" si="3">F4*I4</f>
        <v>18343.5425</v>
      </c>
      <c r="K4" s="11">
        <v>1756</v>
      </c>
      <c r="L4" s="11">
        <f t="shared" ref="L4:L6" si="4">K4*G4</f>
        <v>1317</v>
      </c>
      <c r="M4" s="11">
        <f t="shared" ref="M4:M6" si="5">L4*C4</f>
        <v>1317</v>
      </c>
      <c r="N4" s="17">
        <f>(H4/C4+$F$43/(1/M4*C4))/L4</f>
        <v>41.784834851936218</v>
      </c>
    </row>
    <row r="5" spans="2:14" x14ac:dyDescent="0.25">
      <c r="B5" s="2" t="s">
        <v>16</v>
      </c>
      <c r="C5" s="15">
        <v>2</v>
      </c>
      <c r="D5" s="16">
        <v>48000</v>
      </c>
      <c r="E5" s="17">
        <v>62784</v>
      </c>
      <c r="F5" s="17">
        <f t="shared" si="0"/>
        <v>125568</v>
      </c>
      <c r="G5" s="18">
        <v>0.8</v>
      </c>
      <c r="H5" s="16">
        <f t="shared" si="1"/>
        <v>100454.40000000001</v>
      </c>
      <c r="I5" s="19">
        <f t="shared" si="2"/>
        <v>0.19999999999999996</v>
      </c>
      <c r="J5" s="17">
        <f t="shared" si="3"/>
        <v>25113.599999999995</v>
      </c>
      <c r="K5" s="11">
        <v>1756</v>
      </c>
      <c r="L5" s="11">
        <f t="shared" si="4"/>
        <v>1404.8000000000002</v>
      </c>
      <c r="M5" s="11">
        <f t="shared" si="5"/>
        <v>2809.6000000000004</v>
      </c>
      <c r="N5" s="17">
        <f>(H5/C5+$F$43/(1/M5*C5))/L5</f>
        <v>35.75398633257403</v>
      </c>
    </row>
    <row r="6" spans="2:14" x14ac:dyDescent="0.25">
      <c r="B6" s="2" t="s">
        <v>14</v>
      </c>
      <c r="C6" s="15">
        <v>1</v>
      </c>
      <c r="D6" s="16">
        <v>35000</v>
      </c>
      <c r="E6" s="17">
        <v>45780</v>
      </c>
      <c r="F6" s="17">
        <f t="shared" si="0"/>
        <v>45780</v>
      </c>
      <c r="G6" s="18">
        <v>0.6</v>
      </c>
      <c r="H6" s="16">
        <f t="shared" si="1"/>
        <v>27468</v>
      </c>
      <c r="I6" s="19">
        <f t="shared" si="2"/>
        <v>0.4</v>
      </c>
      <c r="J6" s="17">
        <f t="shared" si="3"/>
        <v>18312</v>
      </c>
      <c r="K6" s="11">
        <v>1756</v>
      </c>
      <c r="L6" s="11">
        <f t="shared" si="4"/>
        <v>1053.5999999999999</v>
      </c>
      <c r="M6" s="11">
        <f t="shared" si="5"/>
        <v>1053.5999999999999</v>
      </c>
      <c r="N6" s="17">
        <f>(H6/C6+$F$43/(1/M6*C6))/L6</f>
        <v>26.070615034168569</v>
      </c>
    </row>
    <row r="7" spans="2:14" x14ac:dyDescent="0.25">
      <c r="B7" s="2" t="s">
        <v>15</v>
      </c>
      <c r="C7" s="20">
        <f>SUM(C3:C6)</f>
        <v>5</v>
      </c>
      <c r="D7" s="15"/>
      <c r="E7" s="15"/>
      <c r="F7" s="21">
        <f>SUM(F3:F6)</f>
        <v>335249.33999999997</v>
      </c>
      <c r="G7" s="15"/>
      <c r="H7" s="21">
        <f>SUM(H3:H6)</f>
        <v>246322.0465</v>
      </c>
      <c r="I7" s="22"/>
      <c r="J7" s="21">
        <f>SUM(J3:J6)</f>
        <v>88927.2935</v>
      </c>
      <c r="K7" s="11"/>
      <c r="L7" s="11"/>
      <c r="M7" s="23">
        <f>SUM(M3:M6)</f>
        <v>6409.4</v>
      </c>
      <c r="N7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EFCE6-44E6-4840-9690-251C16FE0DE0}">
  <dimension ref="B2:I40"/>
  <sheetViews>
    <sheetView workbookViewId="0">
      <selection activeCell="B2" sqref="B2:I2"/>
    </sheetView>
  </sheetViews>
  <sheetFormatPr baseColWidth="10" defaultRowHeight="15" x14ac:dyDescent="0.25"/>
  <cols>
    <col min="2" max="4" width="4" customWidth="1"/>
    <col min="5" max="5" width="39.5703125" customWidth="1"/>
    <col min="7" max="7" width="12.140625" customWidth="1"/>
    <col min="9" max="9" width="12" bestFit="1" customWidth="1"/>
  </cols>
  <sheetData>
    <row r="2" spans="2:9" x14ac:dyDescent="0.25">
      <c r="B2" s="27" t="s">
        <v>17</v>
      </c>
      <c r="C2" s="27"/>
      <c r="D2" s="27"/>
      <c r="E2" s="27"/>
      <c r="F2" s="27"/>
      <c r="G2" s="27"/>
      <c r="H2" s="27"/>
      <c r="I2" s="27"/>
    </row>
    <row r="3" spans="2:9" x14ac:dyDescent="0.25">
      <c r="B3" s="5" t="s">
        <v>18</v>
      </c>
      <c r="C3" s="5" t="s">
        <v>19</v>
      </c>
      <c r="D3" s="5" t="s">
        <v>20</v>
      </c>
      <c r="E3" s="5" t="s">
        <v>21</v>
      </c>
      <c r="F3" s="5" t="s">
        <v>25</v>
      </c>
      <c r="G3" s="5" t="s">
        <v>26</v>
      </c>
      <c r="H3" s="6" t="s">
        <v>23</v>
      </c>
      <c r="I3" s="5" t="s">
        <v>24</v>
      </c>
    </row>
    <row r="4" spans="2:9" x14ac:dyDescent="0.25">
      <c r="B4" s="3">
        <v>1</v>
      </c>
      <c r="C4" s="1"/>
      <c r="D4" s="1"/>
      <c r="E4" s="10" t="s">
        <v>27</v>
      </c>
      <c r="F4" s="11"/>
      <c r="G4" s="12"/>
      <c r="H4" s="12"/>
      <c r="I4" s="12">
        <f>SUM(H5:H6)</f>
        <v>2591.2126138952167</v>
      </c>
    </row>
    <row r="5" spans="2:9" x14ac:dyDescent="0.25">
      <c r="B5" s="1"/>
      <c r="C5" s="1">
        <v>1</v>
      </c>
      <c r="D5" s="1">
        <v>1</v>
      </c>
      <c r="E5" s="13" t="s">
        <v>12</v>
      </c>
      <c r="F5" s="11">
        <v>30</v>
      </c>
      <c r="G5" s="12">
        <f>'Definición de la empresa'!N3</f>
        <v>51.55305808656037</v>
      </c>
      <c r="H5" s="12">
        <f>F5*G5</f>
        <v>1546.5917425968112</v>
      </c>
      <c r="I5" s="12"/>
    </row>
    <row r="6" spans="2:9" x14ac:dyDescent="0.25">
      <c r="B6" s="1"/>
      <c r="C6" s="1"/>
      <c r="D6" s="1">
        <v>2</v>
      </c>
      <c r="E6" s="13" t="s">
        <v>13</v>
      </c>
      <c r="F6" s="11">
        <v>25</v>
      </c>
      <c r="G6" s="12">
        <f>'Definición de la empresa'!N4</f>
        <v>41.784834851936218</v>
      </c>
      <c r="H6" s="12">
        <f>F6*G6</f>
        <v>1044.6208712984055</v>
      </c>
      <c r="I6" s="12"/>
    </row>
    <row r="7" spans="2:9" x14ac:dyDescent="0.25">
      <c r="B7" s="1"/>
      <c r="C7" s="1"/>
      <c r="D7" s="1"/>
      <c r="E7" s="13"/>
      <c r="F7" s="11"/>
      <c r="G7" s="12"/>
      <c r="H7" s="12"/>
      <c r="I7" s="12"/>
    </row>
    <row r="8" spans="2:9" x14ac:dyDescent="0.25">
      <c r="B8" s="3">
        <v>2</v>
      </c>
      <c r="C8" s="1"/>
      <c r="D8" s="1"/>
      <c r="E8" s="10" t="s">
        <v>28</v>
      </c>
      <c r="F8" s="11"/>
      <c r="G8" s="12"/>
      <c r="H8" s="12"/>
      <c r="I8" s="12">
        <f>SUM(H9:H13)</f>
        <v>5997.086332574032</v>
      </c>
    </row>
    <row r="9" spans="2:9" x14ac:dyDescent="0.25">
      <c r="B9" s="1"/>
      <c r="C9" s="1">
        <v>1</v>
      </c>
      <c r="D9" s="1">
        <v>1</v>
      </c>
      <c r="E9" s="13" t="s">
        <v>12</v>
      </c>
      <c r="F9" s="11">
        <v>30</v>
      </c>
      <c r="G9" s="12">
        <f>'Definición de la empresa'!N3</f>
        <v>51.55305808656037</v>
      </c>
      <c r="H9" s="12">
        <f t="shared" ref="H9:H39" si="0">F9*G9</f>
        <v>1546.5917425968112</v>
      </c>
      <c r="I9" s="12"/>
    </row>
    <row r="10" spans="2:9" x14ac:dyDescent="0.25">
      <c r="B10" s="1"/>
      <c r="C10" s="1"/>
      <c r="D10" s="1">
        <v>2</v>
      </c>
      <c r="E10" s="13" t="s">
        <v>13</v>
      </c>
      <c r="F10" s="11">
        <v>50</v>
      </c>
      <c r="G10" s="12">
        <f>'Definición de la empresa'!N4</f>
        <v>41.784834851936218</v>
      </c>
      <c r="H10" s="12">
        <f t="shared" si="0"/>
        <v>2089.241742596811</v>
      </c>
      <c r="I10" s="12"/>
    </row>
    <row r="11" spans="2:9" x14ac:dyDescent="0.25">
      <c r="B11" s="1"/>
      <c r="C11" s="1"/>
      <c r="D11" s="1">
        <v>3</v>
      </c>
      <c r="E11" s="13" t="s">
        <v>29</v>
      </c>
      <c r="F11" s="11">
        <v>25</v>
      </c>
      <c r="G11" s="12">
        <f>'Definición de la empresa'!N5</f>
        <v>35.75398633257403</v>
      </c>
      <c r="H11" s="12">
        <f t="shared" si="0"/>
        <v>893.84965831435079</v>
      </c>
      <c r="I11" s="12"/>
    </row>
    <row r="12" spans="2:9" x14ac:dyDescent="0.25">
      <c r="B12" s="1"/>
      <c r="C12" s="1"/>
      <c r="D12" s="1">
        <v>4</v>
      </c>
      <c r="E12" s="13" t="s">
        <v>30</v>
      </c>
      <c r="F12" s="11">
        <v>25</v>
      </c>
      <c r="G12" s="12">
        <f>'Definición de la empresa'!N5</f>
        <v>35.75398633257403</v>
      </c>
      <c r="H12" s="12">
        <f t="shared" si="0"/>
        <v>893.84965831435079</v>
      </c>
      <c r="I12" s="12"/>
    </row>
    <row r="13" spans="2:9" x14ac:dyDescent="0.25">
      <c r="B13" s="1"/>
      <c r="C13" s="1"/>
      <c r="D13" s="1">
        <v>5</v>
      </c>
      <c r="E13" s="13" t="s">
        <v>14</v>
      </c>
      <c r="F13" s="11">
        <v>22</v>
      </c>
      <c r="G13" s="12">
        <f>'Definición de la empresa'!N6</f>
        <v>26.070615034168569</v>
      </c>
      <c r="H13" s="12">
        <f t="shared" si="0"/>
        <v>573.55353075170854</v>
      </c>
      <c r="I13" s="12"/>
    </row>
    <row r="14" spans="2:9" x14ac:dyDescent="0.25">
      <c r="B14" s="1"/>
      <c r="C14" s="1"/>
      <c r="D14" s="1"/>
      <c r="E14" s="13"/>
      <c r="F14" s="11"/>
      <c r="G14" s="12"/>
      <c r="H14" s="12"/>
      <c r="I14" s="12"/>
    </row>
    <row r="15" spans="2:9" x14ac:dyDescent="0.25">
      <c r="B15" s="3">
        <v>3</v>
      </c>
      <c r="C15" s="1"/>
      <c r="D15" s="1"/>
      <c r="E15" s="10" t="s">
        <v>31</v>
      </c>
      <c r="F15" s="11"/>
      <c r="G15" s="12"/>
      <c r="H15" s="12"/>
      <c r="I15" s="12">
        <f>SUM(H16:H20)</f>
        <v>7236.3892084282461</v>
      </c>
    </row>
    <row r="16" spans="2:9" x14ac:dyDescent="0.25">
      <c r="B16" s="1"/>
      <c r="C16" s="1">
        <v>1</v>
      </c>
      <c r="D16" s="1">
        <v>1</v>
      </c>
      <c r="E16" s="13" t="s">
        <v>12</v>
      </c>
      <c r="F16" s="11">
        <v>15</v>
      </c>
      <c r="G16" s="12">
        <f>'Definición de la empresa'!N3</f>
        <v>51.55305808656037</v>
      </c>
      <c r="H16" s="12">
        <f t="shared" si="0"/>
        <v>773.29587129840559</v>
      </c>
      <c r="I16" s="12"/>
    </row>
    <row r="17" spans="2:9" x14ac:dyDescent="0.25">
      <c r="B17" s="1"/>
      <c r="C17" s="1"/>
      <c r="D17" s="1">
        <v>2</v>
      </c>
      <c r="E17" s="13" t="s">
        <v>13</v>
      </c>
      <c r="F17" s="11">
        <v>70</v>
      </c>
      <c r="G17" s="12">
        <f>'Definición de la empresa'!N4</f>
        <v>41.784834851936218</v>
      </c>
      <c r="H17" s="12">
        <f t="shared" si="0"/>
        <v>2924.9384396355354</v>
      </c>
      <c r="I17" s="12"/>
    </row>
    <row r="18" spans="2:9" x14ac:dyDescent="0.25">
      <c r="B18" s="1"/>
      <c r="C18" s="1"/>
      <c r="D18" s="1">
        <v>3</v>
      </c>
      <c r="E18" s="13" t="s">
        <v>29</v>
      </c>
      <c r="F18" s="11">
        <v>40</v>
      </c>
      <c r="G18" s="12">
        <f>'Definición de la empresa'!N5</f>
        <v>35.75398633257403</v>
      </c>
      <c r="H18" s="12">
        <f t="shared" si="0"/>
        <v>1430.1594533029611</v>
      </c>
      <c r="I18" s="12"/>
    </row>
    <row r="19" spans="2:9" x14ac:dyDescent="0.25">
      <c r="B19" s="1"/>
      <c r="C19" s="1"/>
      <c r="D19" s="1">
        <v>4</v>
      </c>
      <c r="E19" s="13" t="s">
        <v>30</v>
      </c>
      <c r="F19" s="11">
        <v>40</v>
      </c>
      <c r="G19" s="12">
        <f>'Definición de la empresa'!N5</f>
        <v>35.75398633257403</v>
      </c>
      <c r="H19" s="12">
        <f t="shared" si="0"/>
        <v>1430.1594533029611</v>
      </c>
      <c r="I19" s="12"/>
    </row>
    <row r="20" spans="2:9" x14ac:dyDescent="0.25">
      <c r="B20" s="1"/>
      <c r="C20" s="1"/>
      <c r="D20" s="1">
        <v>5</v>
      </c>
      <c r="E20" s="13" t="s">
        <v>14</v>
      </c>
      <c r="F20" s="11">
        <v>26</v>
      </c>
      <c r="G20" s="12">
        <f>'Definición de la empresa'!N6</f>
        <v>26.070615034168569</v>
      </c>
      <c r="H20" s="12">
        <f t="shared" si="0"/>
        <v>677.83599088838275</v>
      </c>
      <c r="I20" s="12"/>
    </row>
    <row r="21" spans="2:9" x14ac:dyDescent="0.25">
      <c r="B21" s="1"/>
      <c r="C21" s="1"/>
      <c r="D21" s="1"/>
      <c r="E21" s="13"/>
      <c r="F21" s="11"/>
      <c r="G21" s="12"/>
      <c r="H21" s="12"/>
      <c r="I21" s="12"/>
    </row>
    <row r="22" spans="2:9" x14ac:dyDescent="0.25">
      <c r="B22" s="3">
        <v>4</v>
      </c>
      <c r="C22" s="1"/>
      <c r="D22" s="1"/>
      <c r="E22" s="10" t="s">
        <v>32</v>
      </c>
      <c r="F22" s="11"/>
      <c r="G22" s="12"/>
      <c r="H22" s="12"/>
      <c r="I22" s="12">
        <f>SUM(H23:H27)</f>
        <v>3610.4817824601369</v>
      </c>
    </row>
    <row r="23" spans="2:9" x14ac:dyDescent="0.25">
      <c r="B23" s="1"/>
      <c r="C23" s="1">
        <v>1</v>
      </c>
      <c r="D23" s="1">
        <v>1</v>
      </c>
      <c r="E23" s="13" t="s">
        <v>12</v>
      </c>
      <c r="F23" s="11">
        <v>35</v>
      </c>
      <c r="G23" s="12">
        <f>'Definición de la empresa'!N3</f>
        <v>51.55305808656037</v>
      </c>
      <c r="H23" s="12">
        <f t="shared" si="0"/>
        <v>1804.3570330296129</v>
      </c>
      <c r="I23" s="12"/>
    </row>
    <row r="24" spans="2:9" x14ac:dyDescent="0.25">
      <c r="B24" s="1"/>
      <c r="C24" s="1"/>
      <c r="D24" s="1">
        <v>2</v>
      </c>
      <c r="E24" s="13" t="s">
        <v>13</v>
      </c>
      <c r="F24" s="11">
        <v>18</v>
      </c>
      <c r="G24" s="12">
        <f>'Definición de la empresa'!N4</f>
        <v>41.784834851936218</v>
      </c>
      <c r="H24" s="12">
        <f t="shared" si="0"/>
        <v>752.12702733485196</v>
      </c>
      <c r="I24" s="12"/>
    </row>
    <row r="25" spans="2:9" x14ac:dyDescent="0.25">
      <c r="B25" s="1"/>
      <c r="C25" s="1"/>
      <c r="D25" s="1">
        <v>3</v>
      </c>
      <c r="E25" s="13" t="s">
        <v>29</v>
      </c>
      <c r="F25" s="11">
        <v>10</v>
      </c>
      <c r="G25" s="12">
        <f>'Definición de la empresa'!N5</f>
        <v>35.75398633257403</v>
      </c>
      <c r="H25" s="12">
        <f t="shared" si="0"/>
        <v>357.53986332574027</v>
      </c>
      <c r="I25" s="12"/>
    </row>
    <row r="26" spans="2:9" x14ac:dyDescent="0.25">
      <c r="B26" s="1"/>
      <c r="C26" s="1"/>
      <c r="D26" s="1">
        <v>4</v>
      </c>
      <c r="E26" s="13" t="s">
        <v>30</v>
      </c>
      <c r="F26" s="11">
        <v>10</v>
      </c>
      <c r="G26" s="12">
        <f>'Definición de la empresa'!N5</f>
        <v>35.75398633257403</v>
      </c>
      <c r="H26" s="12">
        <f t="shared" si="0"/>
        <v>357.53986332574027</v>
      </c>
      <c r="I26" s="12"/>
    </row>
    <row r="27" spans="2:9" x14ac:dyDescent="0.25">
      <c r="B27" s="1"/>
      <c r="C27" s="1"/>
      <c r="D27" s="1">
        <v>5</v>
      </c>
      <c r="E27" s="13" t="s">
        <v>14</v>
      </c>
      <c r="F27" s="11">
        <v>13</v>
      </c>
      <c r="G27" s="12">
        <f>'Definición de la empresa'!N6</f>
        <v>26.070615034168569</v>
      </c>
      <c r="H27" s="12">
        <f t="shared" si="0"/>
        <v>338.91799544419138</v>
      </c>
      <c r="I27" s="12"/>
    </row>
    <row r="28" spans="2:9" x14ac:dyDescent="0.25">
      <c r="B28" s="1"/>
      <c r="C28" s="1"/>
      <c r="D28" s="1"/>
      <c r="E28" s="13"/>
      <c r="F28" s="11"/>
      <c r="G28" s="12"/>
      <c r="H28" s="12"/>
      <c r="I28" s="12"/>
    </row>
    <row r="29" spans="2:9" x14ac:dyDescent="0.25">
      <c r="B29" s="3">
        <v>5</v>
      </c>
      <c r="C29" s="1"/>
      <c r="D29" s="1"/>
      <c r="E29" s="10" t="s">
        <v>35</v>
      </c>
      <c r="F29" s="11"/>
      <c r="G29" s="12"/>
      <c r="H29" s="12"/>
      <c r="I29" s="12">
        <f>SUM(H30:H32)</f>
        <v>6636.8337129840547</v>
      </c>
    </row>
    <row r="30" spans="2:9" x14ac:dyDescent="0.25">
      <c r="B30" s="1"/>
      <c r="C30" s="1">
        <v>1</v>
      </c>
      <c r="D30" s="1">
        <v>1</v>
      </c>
      <c r="E30" s="13" t="s">
        <v>29</v>
      </c>
      <c r="F30" s="11">
        <v>60</v>
      </c>
      <c r="G30" s="12">
        <f>'Definición de la empresa'!N5</f>
        <v>35.75398633257403</v>
      </c>
      <c r="H30" s="12">
        <f>F30*G30</f>
        <v>2145.2391799544416</v>
      </c>
      <c r="I30" s="12"/>
    </row>
    <row r="31" spans="2:9" x14ac:dyDescent="0.25">
      <c r="B31" s="1"/>
      <c r="C31" s="1"/>
      <c r="D31" s="1">
        <v>2</v>
      </c>
      <c r="E31" s="13" t="s">
        <v>30</v>
      </c>
      <c r="F31" s="11">
        <v>60</v>
      </c>
      <c r="G31" s="12">
        <f>'Definición de la empresa'!N5</f>
        <v>35.75398633257403</v>
      </c>
      <c r="H31" s="12">
        <f t="shared" ref="H31" si="1">F31*G31</f>
        <v>2145.2391799544416</v>
      </c>
      <c r="I31" s="12"/>
    </row>
    <row r="32" spans="2:9" x14ac:dyDescent="0.25">
      <c r="B32" s="1"/>
      <c r="C32" s="1"/>
      <c r="D32" s="1">
        <v>3</v>
      </c>
      <c r="E32" s="13" t="s">
        <v>14</v>
      </c>
      <c r="F32" s="11">
        <v>90</v>
      </c>
      <c r="G32" s="12">
        <f>'Definición de la empresa'!N6</f>
        <v>26.070615034168569</v>
      </c>
      <c r="H32" s="12">
        <f>F32*G32</f>
        <v>2346.355353075171</v>
      </c>
      <c r="I32" s="12"/>
    </row>
    <row r="33" spans="2:9" x14ac:dyDescent="0.25">
      <c r="B33" s="1"/>
      <c r="C33" s="1"/>
      <c r="D33" s="1"/>
      <c r="E33" s="13"/>
      <c r="F33" s="11"/>
      <c r="G33" s="12"/>
      <c r="H33" s="12"/>
      <c r="I33" s="12"/>
    </row>
    <row r="34" spans="2:9" x14ac:dyDescent="0.25">
      <c r="B34" s="3">
        <v>6</v>
      </c>
      <c r="C34" s="1"/>
      <c r="D34" s="1"/>
      <c r="E34" s="10" t="s">
        <v>33</v>
      </c>
      <c r="F34" s="11"/>
      <c r="G34" s="12"/>
      <c r="H34" s="12"/>
      <c r="I34" s="12">
        <f>SUM(H35:H36)</f>
        <v>4764.5768792710714</v>
      </c>
    </row>
    <row r="35" spans="2:9" x14ac:dyDescent="0.25">
      <c r="B35" s="1"/>
      <c r="C35" s="1">
        <v>1</v>
      </c>
      <c r="D35" s="1">
        <v>1</v>
      </c>
      <c r="E35" s="13" t="s">
        <v>12</v>
      </c>
      <c r="F35" s="11">
        <v>60</v>
      </c>
      <c r="G35" s="12">
        <f>'Definición de la empresa'!N3</f>
        <v>51.55305808656037</v>
      </c>
      <c r="H35" s="12">
        <f t="shared" si="0"/>
        <v>3093.1834851936223</v>
      </c>
      <c r="I35" s="12"/>
    </row>
    <row r="36" spans="2:9" x14ac:dyDescent="0.25">
      <c r="B36" s="1"/>
      <c r="C36" s="1"/>
      <c r="D36" s="1">
        <v>2</v>
      </c>
      <c r="E36" s="13" t="s">
        <v>13</v>
      </c>
      <c r="F36" s="11">
        <v>40</v>
      </c>
      <c r="G36" s="12">
        <f>'Definición de la empresa'!N4</f>
        <v>41.784834851936218</v>
      </c>
      <c r="H36" s="12">
        <f t="shared" si="0"/>
        <v>1671.3933940774486</v>
      </c>
      <c r="I36" s="12"/>
    </row>
    <row r="37" spans="2:9" x14ac:dyDescent="0.25">
      <c r="B37" s="1"/>
      <c r="C37" s="1"/>
      <c r="D37" s="1"/>
      <c r="E37" s="13"/>
      <c r="F37" s="11"/>
      <c r="G37" s="12"/>
      <c r="H37" s="12"/>
      <c r="I37" s="12"/>
    </row>
    <row r="38" spans="2:9" x14ac:dyDescent="0.25">
      <c r="B38" s="3">
        <v>7</v>
      </c>
      <c r="C38" s="1"/>
      <c r="D38" s="1"/>
      <c r="E38" s="10" t="s">
        <v>34</v>
      </c>
      <c r="F38" s="11"/>
      <c r="G38" s="12"/>
      <c r="H38" s="12"/>
      <c r="I38" s="12">
        <f>SUM(H39)</f>
        <v>1031.0611617312074</v>
      </c>
    </row>
    <row r="39" spans="2:9" x14ac:dyDescent="0.25">
      <c r="B39" s="1"/>
      <c r="C39" s="1">
        <v>1</v>
      </c>
      <c r="D39" s="1">
        <v>1</v>
      </c>
      <c r="E39" s="13" t="s">
        <v>12</v>
      </c>
      <c r="F39" s="11">
        <v>20</v>
      </c>
      <c r="G39" s="12">
        <f>'Definición de la empresa'!N3</f>
        <v>51.55305808656037</v>
      </c>
      <c r="H39" s="12">
        <f t="shared" si="0"/>
        <v>1031.0611617312074</v>
      </c>
      <c r="I39" s="12"/>
    </row>
    <row r="40" spans="2:9" x14ac:dyDescent="0.25">
      <c r="G40" s="8"/>
      <c r="H40" s="8"/>
      <c r="I40" s="9">
        <f>SUM(I4:I39)</f>
        <v>31867.641691343964</v>
      </c>
    </row>
  </sheetData>
  <mergeCells count="1">
    <mergeCell ref="B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A9F47-BC81-4B00-B395-00696314F79F}">
  <dimension ref="B2:I41"/>
  <sheetViews>
    <sheetView workbookViewId="0">
      <selection activeCell="B2" sqref="B2:I2"/>
    </sheetView>
  </sheetViews>
  <sheetFormatPr baseColWidth="10" defaultRowHeight="15" x14ac:dyDescent="0.25"/>
  <cols>
    <col min="2" max="4" width="3.42578125" customWidth="1"/>
    <col min="5" max="5" width="33.7109375" customWidth="1"/>
    <col min="9" max="9" width="12" bestFit="1" customWidth="1"/>
  </cols>
  <sheetData>
    <row r="2" spans="2:9" x14ac:dyDescent="0.25">
      <c r="B2" s="27" t="s">
        <v>36</v>
      </c>
      <c r="C2" s="27"/>
      <c r="D2" s="27"/>
      <c r="E2" s="27"/>
      <c r="F2" s="27"/>
      <c r="G2" s="27"/>
      <c r="H2" s="27"/>
      <c r="I2" s="27"/>
    </row>
    <row r="3" spans="2:9" x14ac:dyDescent="0.25">
      <c r="B3" s="5" t="s">
        <v>18</v>
      </c>
      <c r="C3" s="5" t="s">
        <v>19</v>
      </c>
      <c r="D3" s="5" t="s">
        <v>20</v>
      </c>
      <c r="E3" s="5" t="s">
        <v>21</v>
      </c>
      <c r="F3" s="5" t="s">
        <v>25</v>
      </c>
      <c r="G3" s="5" t="s">
        <v>26</v>
      </c>
      <c r="H3" s="6" t="s">
        <v>23</v>
      </c>
      <c r="I3" s="5" t="s">
        <v>24</v>
      </c>
    </row>
    <row r="4" spans="2:9" x14ac:dyDescent="0.25">
      <c r="B4" s="3">
        <v>1</v>
      </c>
      <c r="C4" s="1"/>
      <c r="D4" s="1"/>
      <c r="E4" s="10" t="s">
        <v>37</v>
      </c>
      <c r="F4" s="11"/>
      <c r="G4" s="12"/>
      <c r="H4" s="12"/>
      <c r="I4" s="12">
        <f>SUM(H5:H10)</f>
        <v>3608.7140660592258</v>
      </c>
    </row>
    <row r="5" spans="2:9" x14ac:dyDescent="0.25">
      <c r="B5" s="1"/>
      <c r="C5" s="1">
        <v>1</v>
      </c>
      <c r="D5" s="1"/>
      <c r="E5" s="13" t="s">
        <v>38</v>
      </c>
      <c r="F5" s="11"/>
      <c r="G5" s="12"/>
      <c r="H5" s="12"/>
      <c r="I5" s="12"/>
    </row>
    <row r="6" spans="2:9" x14ac:dyDescent="0.25">
      <c r="B6" s="1"/>
      <c r="C6" s="1"/>
      <c r="D6" s="1">
        <v>1</v>
      </c>
      <c r="E6" s="14" t="s">
        <v>12</v>
      </c>
      <c r="F6" s="11">
        <v>20</v>
      </c>
      <c r="G6" s="12">
        <f>'Definición de la empresa'!N3</f>
        <v>51.55305808656037</v>
      </c>
      <c r="H6" s="12">
        <f>F6*G6</f>
        <v>1031.0611617312074</v>
      </c>
      <c r="I6" s="12"/>
    </row>
    <row r="7" spans="2:9" x14ac:dyDescent="0.25">
      <c r="B7" s="1"/>
      <c r="C7" s="1">
        <v>2</v>
      </c>
      <c r="D7" s="1"/>
      <c r="E7" s="13" t="s">
        <v>39</v>
      </c>
      <c r="F7" s="11"/>
      <c r="G7" s="12"/>
      <c r="H7" s="12"/>
      <c r="I7" s="12"/>
    </row>
    <row r="8" spans="2:9" x14ac:dyDescent="0.25">
      <c r="B8" s="1"/>
      <c r="C8" s="1"/>
      <c r="D8" s="1">
        <v>1</v>
      </c>
      <c r="E8" s="14" t="s">
        <v>12</v>
      </c>
      <c r="F8" s="11">
        <v>25</v>
      </c>
      <c r="G8" s="12">
        <f>'Definición de la empresa'!N3</f>
        <v>51.55305808656037</v>
      </c>
      <c r="H8" s="12">
        <f t="shared" ref="H8:H40" si="0">F8*G8</f>
        <v>1288.8264521640092</v>
      </c>
      <c r="I8" s="12"/>
    </row>
    <row r="9" spans="2:9" x14ac:dyDescent="0.25">
      <c r="B9" s="1"/>
      <c r="C9" s="1">
        <v>3</v>
      </c>
      <c r="D9" s="1"/>
      <c r="E9" s="13" t="s">
        <v>40</v>
      </c>
      <c r="F9" s="11"/>
      <c r="G9" s="12"/>
      <c r="H9" s="12"/>
      <c r="I9" s="12"/>
    </row>
    <row r="10" spans="2:9" x14ac:dyDescent="0.25">
      <c r="B10" s="1"/>
      <c r="C10" s="1"/>
      <c r="D10" s="1">
        <v>1</v>
      </c>
      <c r="E10" s="14" t="s">
        <v>12</v>
      </c>
      <c r="F10" s="11">
        <v>25</v>
      </c>
      <c r="G10" s="12">
        <f>'Definición de la empresa'!N3</f>
        <v>51.55305808656037</v>
      </c>
      <c r="H10" s="12">
        <f t="shared" si="0"/>
        <v>1288.8264521640092</v>
      </c>
      <c r="I10" s="12"/>
    </row>
    <row r="11" spans="2:9" x14ac:dyDescent="0.25">
      <c r="B11" s="1"/>
      <c r="C11" s="1"/>
      <c r="D11" s="1"/>
      <c r="E11" s="13"/>
      <c r="F11" s="11"/>
      <c r="G11" s="12"/>
      <c r="H11" s="12"/>
      <c r="I11" s="12"/>
    </row>
    <row r="12" spans="2:9" x14ac:dyDescent="0.25">
      <c r="B12" s="3">
        <v>2</v>
      </c>
      <c r="C12" s="1"/>
      <c r="D12" s="1"/>
      <c r="E12" s="10" t="s">
        <v>41</v>
      </c>
      <c r="F12" s="11"/>
      <c r="G12" s="12"/>
      <c r="H12" s="12"/>
      <c r="I12" s="12">
        <f>SUM(H13:H26)</f>
        <v>5148.5740318906601</v>
      </c>
    </row>
    <row r="13" spans="2:9" x14ac:dyDescent="0.25">
      <c r="B13" s="1"/>
      <c r="C13" s="1">
        <v>1</v>
      </c>
      <c r="D13" s="1"/>
      <c r="E13" s="13" t="s">
        <v>42</v>
      </c>
      <c r="F13" s="11"/>
      <c r="G13" s="12"/>
      <c r="H13" s="12"/>
      <c r="I13" s="12"/>
    </row>
    <row r="14" spans="2:9" x14ac:dyDescent="0.25">
      <c r="B14" s="1"/>
      <c r="C14" s="1"/>
      <c r="D14" s="1">
        <v>1</v>
      </c>
      <c r="E14" s="14" t="s">
        <v>29</v>
      </c>
      <c r="F14" s="11">
        <v>25</v>
      </c>
      <c r="G14" s="12">
        <f>'Definición de la empresa'!N5</f>
        <v>35.75398633257403</v>
      </c>
      <c r="H14" s="12">
        <f t="shared" si="0"/>
        <v>893.84965831435079</v>
      </c>
      <c r="I14" s="12"/>
    </row>
    <row r="15" spans="2:9" x14ac:dyDescent="0.25">
      <c r="B15" s="1"/>
      <c r="C15" s="1">
        <v>2</v>
      </c>
      <c r="D15" s="1"/>
      <c r="E15" s="13" t="s">
        <v>43</v>
      </c>
      <c r="F15" s="11"/>
      <c r="G15" s="12"/>
      <c r="H15" s="12"/>
      <c r="I15" s="12"/>
    </row>
    <row r="16" spans="2:9" x14ac:dyDescent="0.25">
      <c r="B16" s="1"/>
      <c r="C16" s="1"/>
      <c r="D16" s="1">
        <v>1</v>
      </c>
      <c r="E16" s="14" t="s">
        <v>29</v>
      </c>
      <c r="F16" s="11">
        <v>20</v>
      </c>
      <c r="G16" s="12">
        <f>'Definición de la empresa'!N5</f>
        <v>35.75398633257403</v>
      </c>
      <c r="H16" s="12">
        <f t="shared" si="0"/>
        <v>715.07972665148054</v>
      </c>
      <c r="I16" s="12"/>
    </row>
    <row r="17" spans="2:9" x14ac:dyDescent="0.25">
      <c r="B17" s="1"/>
      <c r="C17" s="1">
        <v>3</v>
      </c>
      <c r="D17" s="1"/>
      <c r="E17" s="13" t="s">
        <v>44</v>
      </c>
      <c r="F17" s="11"/>
      <c r="G17" s="12"/>
      <c r="H17" s="12"/>
      <c r="I17" s="12"/>
    </row>
    <row r="18" spans="2:9" x14ac:dyDescent="0.25">
      <c r="B18" s="1"/>
      <c r="C18" s="1"/>
      <c r="D18" s="1">
        <v>1</v>
      </c>
      <c r="E18" s="14" t="s">
        <v>29</v>
      </c>
      <c r="F18" s="11">
        <v>23</v>
      </c>
      <c r="G18" s="12">
        <f>'Definición de la empresa'!N5</f>
        <v>35.75398633257403</v>
      </c>
      <c r="H18" s="12">
        <f t="shared" si="0"/>
        <v>822.34168564920265</v>
      </c>
      <c r="I18" s="12"/>
    </row>
    <row r="19" spans="2:9" x14ac:dyDescent="0.25">
      <c r="B19" s="1"/>
      <c r="C19" s="1">
        <v>4</v>
      </c>
      <c r="D19" s="1"/>
      <c r="E19" s="13" t="s">
        <v>45</v>
      </c>
      <c r="F19" s="11"/>
      <c r="G19" s="12"/>
      <c r="H19" s="12"/>
      <c r="I19" s="12"/>
    </row>
    <row r="20" spans="2:9" x14ac:dyDescent="0.25">
      <c r="B20" s="1"/>
      <c r="C20" s="1"/>
      <c r="D20" s="1">
        <v>1</v>
      </c>
      <c r="E20" s="14" t="s">
        <v>30</v>
      </c>
      <c r="F20" s="11">
        <v>30</v>
      </c>
      <c r="G20" s="12">
        <f>'Definición de la empresa'!N5</f>
        <v>35.75398633257403</v>
      </c>
      <c r="H20" s="12">
        <f t="shared" si="0"/>
        <v>1072.6195899772208</v>
      </c>
      <c r="I20" s="12"/>
    </row>
    <row r="21" spans="2:9" x14ac:dyDescent="0.25">
      <c r="B21" s="1"/>
      <c r="C21" s="1">
        <v>5</v>
      </c>
      <c r="D21" s="1"/>
      <c r="E21" s="13" t="s">
        <v>46</v>
      </c>
      <c r="F21" s="11"/>
      <c r="G21" s="12"/>
      <c r="H21" s="12"/>
      <c r="I21" s="12"/>
    </row>
    <row r="22" spans="2:9" x14ac:dyDescent="0.25">
      <c r="B22" s="1"/>
      <c r="C22" s="1"/>
      <c r="D22" s="1">
        <v>1</v>
      </c>
      <c r="E22" s="14" t="s">
        <v>30</v>
      </c>
      <c r="F22" s="11">
        <v>15</v>
      </c>
      <c r="G22" s="12">
        <f>'Definición de la empresa'!N5</f>
        <v>35.75398633257403</v>
      </c>
      <c r="H22" s="12">
        <f t="shared" si="0"/>
        <v>536.30979498861041</v>
      </c>
      <c r="I22" s="12"/>
    </row>
    <row r="23" spans="2:9" x14ac:dyDescent="0.25">
      <c r="B23" s="1"/>
      <c r="C23" s="1">
        <v>6</v>
      </c>
      <c r="D23" s="1"/>
      <c r="E23" s="13" t="s">
        <v>47</v>
      </c>
      <c r="F23" s="11"/>
      <c r="G23" s="12"/>
      <c r="H23" s="12"/>
      <c r="I23" s="12"/>
    </row>
    <row r="24" spans="2:9" x14ac:dyDescent="0.25">
      <c r="B24" s="1"/>
      <c r="C24" s="1"/>
      <c r="D24" s="1">
        <v>1</v>
      </c>
      <c r="E24" s="14" t="s">
        <v>30</v>
      </c>
      <c r="F24" s="11">
        <v>15</v>
      </c>
      <c r="G24" s="12">
        <f>'Definición de la empresa'!N5</f>
        <v>35.75398633257403</v>
      </c>
      <c r="H24" s="12">
        <f t="shared" si="0"/>
        <v>536.30979498861041</v>
      </c>
      <c r="I24" s="12"/>
    </row>
    <row r="25" spans="2:9" x14ac:dyDescent="0.25">
      <c r="B25" s="1"/>
      <c r="C25" s="1">
        <v>7</v>
      </c>
      <c r="D25" s="1"/>
      <c r="E25" s="13" t="s">
        <v>48</v>
      </c>
      <c r="F25" s="11"/>
      <c r="G25" s="12"/>
      <c r="H25" s="12"/>
      <c r="I25" s="12"/>
    </row>
    <row r="26" spans="2:9" x14ac:dyDescent="0.25">
      <c r="B26" s="1"/>
      <c r="C26" s="1"/>
      <c r="D26" s="1">
        <v>1</v>
      </c>
      <c r="E26" s="14" t="s">
        <v>30</v>
      </c>
      <c r="F26" s="11">
        <v>16</v>
      </c>
      <c r="G26" s="12">
        <f>'Definición de la empresa'!N5</f>
        <v>35.75398633257403</v>
      </c>
      <c r="H26" s="12">
        <f t="shared" si="0"/>
        <v>572.06378132118448</v>
      </c>
      <c r="I26" s="12"/>
    </row>
    <row r="27" spans="2:9" x14ac:dyDescent="0.25">
      <c r="B27" s="1"/>
      <c r="C27" s="1"/>
      <c r="D27" s="1"/>
      <c r="E27" s="13"/>
      <c r="F27" s="11"/>
      <c r="G27" s="12"/>
      <c r="H27" s="12"/>
      <c r="I27" s="12"/>
    </row>
    <row r="28" spans="2:9" x14ac:dyDescent="0.25">
      <c r="B28" s="3">
        <v>3</v>
      </c>
      <c r="C28" s="1"/>
      <c r="D28" s="1"/>
      <c r="E28" s="10" t="s">
        <v>49</v>
      </c>
      <c r="F28" s="11"/>
      <c r="G28" s="12"/>
      <c r="H28" s="12"/>
      <c r="I28" s="12">
        <f>SUM(H29:H34)</f>
        <v>3133.8626138952159</v>
      </c>
    </row>
    <row r="29" spans="2:9" x14ac:dyDescent="0.25">
      <c r="B29" s="1"/>
      <c r="C29" s="1">
        <v>1</v>
      </c>
      <c r="D29" s="1"/>
      <c r="E29" s="13" t="s">
        <v>50</v>
      </c>
      <c r="F29" s="11"/>
      <c r="G29" s="12"/>
      <c r="H29" s="12"/>
      <c r="I29" s="12"/>
    </row>
    <row r="30" spans="2:9" x14ac:dyDescent="0.25">
      <c r="B30" s="1"/>
      <c r="C30" s="1"/>
      <c r="D30" s="1">
        <v>1</v>
      </c>
      <c r="E30" s="14" t="s">
        <v>13</v>
      </c>
      <c r="F30" s="11">
        <v>30</v>
      </c>
      <c r="G30" s="12">
        <f>'Definición de la empresa'!N4</f>
        <v>41.784834851936218</v>
      </c>
      <c r="H30" s="12">
        <f t="shared" si="0"/>
        <v>1253.5450455580865</v>
      </c>
      <c r="I30" s="12"/>
    </row>
    <row r="31" spans="2:9" x14ac:dyDescent="0.25">
      <c r="B31" s="1"/>
      <c r="C31" s="1">
        <v>2</v>
      </c>
      <c r="D31" s="1"/>
      <c r="E31" s="13" t="s">
        <v>51</v>
      </c>
      <c r="F31" s="11"/>
      <c r="G31" s="12"/>
      <c r="H31" s="12"/>
      <c r="I31" s="12"/>
    </row>
    <row r="32" spans="2:9" x14ac:dyDescent="0.25">
      <c r="B32" s="1"/>
      <c r="C32" s="1"/>
      <c r="D32" s="1">
        <v>1</v>
      </c>
      <c r="E32" s="14" t="s">
        <v>13</v>
      </c>
      <c r="F32" s="11">
        <v>20</v>
      </c>
      <c r="G32" s="12">
        <f>'Definición de la empresa'!N4</f>
        <v>41.784834851936218</v>
      </c>
      <c r="H32" s="12">
        <f t="shared" si="0"/>
        <v>835.69669703872432</v>
      </c>
      <c r="I32" s="12"/>
    </row>
    <row r="33" spans="2:9" x14ac:dyDescent="0.25">
      <c r="B33" s="1"/>
      <c r="C33" s="1">
        <v>3</v>
      </c>
      <c r="D33" s="1"/>
      <c r="E33" s="13" t="s">
        <v>52</v>
      </c>
      <c r="F33" s="11"/>
      <c r="G33" s="12"/>
      <c r="H33" s="12"/>
      <c r="I33" s="12"/>
    </row>
    <row r="34" spans="2:9" x14ac:dyDescent="0.25">
      <c r="B34" s="1"/>
      <c r="C34" s="1"/>
      <c r="D34" s="1">
        <v>1</v>
      </c>
      <c r="E34" s="14" t="s">
        <v>13</v>
      </c>
      <c r="F34" s="11">
        <v>25</v>
      </c>
      <c r="G34" s="12">
        <f>'Definición de la empresa'!N4</f>
        <v>41.784834851936218</v>
      </c>
      <c r="H34" s="12">
        <f t="shared" si="0"/>
        <v>1044.6208712984055</v>
      </c>
      <c r="I34" s="12"/>
    </row>
    <row r="35" spans="2:9" x14ac:dyDescent="0.25">
      <c r="B35" s="1"/>
      <c r="C35" s="1"/>
      <c r="D35" s="1"/>
      <c r="E35" s="13"/>
      <c r="F35" s="11"/>
      <c r="G35" s="12"/>
      <c r="H35" s="12"/>
      <c r="I35" s="12"/>
    </row>
    <row r="36" spans="2:9" x14ac:dyDescent="0.25">
      <c r="B36" s="3">
        <v>4</v>
      </c>
      <c r="C36" s="1"/>
      <c r="D36" s="1"/>
      <c r="E36" s="10" t="s">
        <v>53</v>
      </c>
      <c r="F36" s="11"/>
      <c r="G36" s="12"/>
      <c r="H36" s="12"/>
      <c r="I36" s="12">
        <f>SUM(H37:H40)</f>
        <v>1573.1753986332574</v>
      </c>
    </row>
    <row r="37" spans="2:9" x14ac:dyDescent="0.25">
      <c r="B37" s="1"/>
      <c r="C37" s="1">
        <v>1</v>
      </c>
      <c r="D37" s="1"/>
      <c r="E37" s="13" t="s">
        <v>54</v>
      </c>
      <c r="F37" s="11"/>
      <c r="G37" s="12"/>
      <c r="H37" s="12"/>
      <c r="I37" s="12"/>
    </row>
    <row r="38" spans="2:9" x14ac:dyDescent="0.25">
      <c r="B38" s="1"/>
      <c r="C38" s="1"/>
      <c r="D38" s="1">
        <v>1</v>
      </c>
      <c r="E38" s="14" t="s">
        <v>29</v>
      </c>
      <c r="F38" s="11">
        <v>24</v>
      </c>
      <c r="G38" s="12">
        <f>'Definición de la empresa'!N5</f>
        <v>35.75398633257403</v>
      </c>
      <c r="H38" s="12">
        <f t="shared" si="0"/>
        <v>858.09567198177672</v>
      </c>
      <c r="I38" s="12"/>
    </row>
    <row r="39" spans="2:9" x14ac:dyDescent="0.25">
      <c r="B39" s="1"/>
      <c r="C39" s="1">
        <v>2</v>
      </c>
      <c r="D39" s="1"/>
      <c r="E39" s="13" t="s">
        <v>55</v>
      </c>
      <c r="F39" s="11"/>
      <c r="G39" s="12"/>
      <c r="H39" s="12"/>
      <c r="I39" s="12"/>
    </row>
    <row r="40" spans="2:9" x14ac:dyDescent="0.25">
      <c r="B40" s="1"/>
      <c r="C40" s="1"/>
      <c r="D40" s="1">
        <v>1</v>
      </c>
      <c r="E40" s="14" t="s">
        <v>30</v>
      </c>
      <c r="F40" s="11">
        <v>20</v>
      </c>
      <c r="G40" s="12">
        <f>'Definición de la empresa'!N5</f>
        <v>35.75398633257403</v>
      </c>
      <c r="H40" s="12">
        <f t="shared" si="0"/>
        <v>715.07972665148054</v>
      </c>
      <c r="I40" s="12"/>
    </row>
    <row r="41" spans="2:9" x14ac:dyDescent="0.25">
      <c r="G41" s="8"/>
      <c r="H41" s="8"/>
      <c r="I41" s="9">
        <f>SUM(I4:I40)</f>
        <v>13464.326110478358</v>
      </c>
    </row>
  </sheetData>
  <mergeCells count="1">
    <mergeCell ref="B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6EF71-F143-4069-9AB6-A016B4AB8818}">
  <dimension ref="B2:I30"/>
  <sheetViews>
    <sheetView workbookViewId="0">
      <selection activeCell="B2" sqref="B2:I2"/>
    </sheetView>
  </sheetViews>
  <sheetFormatPr baseColWidth="10" defaultRowHeight="15" x14ac:dyDescent="0.25"/>
  <cols>
    <col min="2" max="4" width="3.7109375" customWidth="1"/>
    <col min="5" max="5" width="34" customWidth="1"/>
    <col min="6" max="6" width="11.42578125" customWidth="1"/>
    <col min="9" max="9" width="12" bestFit="1" customWidth="1"/>
  </cols>
  <sheetData>
    <row r="2" spans="2:9" x14ac:dyDescent="0.25">
      <c r="B2" s="27" t="s">
        <v>56</v>
      </c>
      <c r="C2" s="27"/>
      <c r="D2" s="27"/>
      <c r="E2" s="27"/>
      <c r="F2" s="27"/>
      <c r="G2" s="27"/>
      <c r="H2" s="27"/>
      <c r="I2" s="27"/>
    </row>
    <row r="3" spans="2:9" x14ac:dyDescent="0.25">
      <c r="B3" s="5" t="s">
        <v>18</v>
      </c>
      <c r="C3" s="5" t="s">
        <v>19</v>
      </c>
      <c r="D3" s="5" t="s">
        <v>20</v>
      </c>
      <c r="E3" s="5" t="s">
        <v>21</v>
      </c>
      <c r="F3" s="5" t="s">
        <v>25</v>
      </c>
      <c r="G3" s="5" t="s">
        <v>26</v>
      </c>
      <c r="H3" s="6" t="s">
        <v>23</v>
      </c>
      <c r="I3" s="5" t="s">
        <v>24</v>
      </c>
    </row>
    <row r="4" spans="2:9" x14ac:dyDescent="0.25">
      <c r="B4" s="3">
        <v>1</v>
      </c>
      <c r="C4" s="1"/>
      <c r="D4" s="1"/>
      <c r="E4" s="10" t="s">
        <v>57</v>
      </c>
      <c r="F4" s="11"/>
      <c r="G4" s="12"/>
      <c r="H4" s="12"/>
      <c r="I4" s="12">
        <f>SUM(H5:H7)</f>
        <v>3459.0927107061498</v>
      </c>
    </row>
    <row r="5" spans="2:9" x14ac:dyDescent="0.25">
      <c r="B5" s="1"/>
      <c r="C5" s="1">
        <v>1</v>
      </c>
      <c r="D5" s="1">
        <v>1</v>
      </c>
      <c r="E5" s="13" t="s">
        <v>13</v>
      </c>
      <c r="F5" s="11">
        <v>40</v>
      </c>
      <c r="G5" s="12">
        <f>'Definición de la empresa'!N4</f>
        <v>41.784834851936218</v>
      </c>
      <c r="H5" s="12">
        <f>F5*G5</f>
        <v>1671.3933940774486</v>
      </c>
      <c r="I5" s="12"/>
    </row>
    <row r="6" spans="2:9" x14ac:dyDescent="0.25">
      <c r="B6" s="1"/>
      <c r="C6" s="1"/>
      <c r="D6" s="1">
        <v>2</v>
      </c>
      <c r="E6" s="13" t="s">
        <v>29</v>
      </c>
      <c r="F6" s="11">
        <v>25</v>
      </c>
      <c r="G6" s="12">
        <f>'Definición de la empresa'!N5</f>
        <v>35.75398633257403</v>
      </c>
      <c r="H6" s="12">
        <f t="shared" ref="H6:H29" si="0">F6*G6</f>
        <v>893.84965831435079</v>
      </c>
      <c r="I6" s="12"/>
    </row>
    <row r="7" spans="2:9" x14ac:dyDescent="0.25">
      <c r="B7" s="1"/>
      <c r="C7" s="1"/>
      <c r="D7" s="1">
        <v>3</v>
      </c>
      <c r="E7" s="13" t="s">
        <v>30</v>
      </c>
      <c r="F7" s="11">
        <v>25</v>
      </c>
      <c r="G7" s="12">
        <f>'Definición de la empresa'!N5</f>
        <v>35.75398633257403</v>
      </c>
      <c r="H7" s="12">
        <f t="shared" si="0"/>
        <v>893.84965831435079</v>
      </c>
      <c r="I7" s="12"/>
    </row>
    <row r="8" spans="2:9" x14ac:dyDescent="0.25">
      <c r="B8" s="1"/>
      <c r="C8" s="1"/>
      <c r="D8" s="1"/>
      <c r="E8" s="13"/>
      <c r="F8" s="11"/>
      <c r="G8" s="12"/>
      <c r="H8" s="12"/>
      <c r="I8" s="12"/>
    </row>
    <row r="9" spans="2:9" x14ac:dyDescent="0.25">
      <c r="B9" s="3">
        <v>2</v>
      </c>
      <c r="C9" s="1"/>
      <c r="D9" s="1"/>
      <c r="E9" s="10" t="s">
        <v>58</v>
      </c>
      <c r="F9" s="11"/>
      <c r="G9" s="12"/>
      <c r="H9" s="12"/>
      <c r="I9" s="12">
        <f>SUM(H10:H13)</f>
        <v>7301.927733485194</v>
      </c>
    </row>
    <row r="10" spans="2:9" x14ac:dyDescent="0.25">
      <c r="B10" s="1"/>
      <c r="C10" s="1">
        <v>1</v>
      </c>
      <c r="D10" s="1">
        <v>1</v>
      </c>
      <c r="E10" s="13" t="s">
        <v>13</v>
      </c>
      <c r="F10" s="11">
        <v>30</v>
      </c>
      <c r="G10" s="12">
        <f>'Definición de la empresa'!N4</f>
        <v>41.784834851936218</v>
      </c>
      <c r="H10" s="12">
        <f t="shared" si="0"/>
        <v>1253.5450455580865</v>
      </c>
      <c r="I10" s="12"/>
    </row>
    <row r="11" spans="2:9" x14ac:dyDescent="0.25">
      <c r="B11" s="1"/>
      <c r="C11" s="1"/>
      <c r="D11" s="1">
        <v>2</v>
      </c>
      <c r="E11" s="13" t="s">
        <v>29</v>
      </c>
      <c r="F11" s="11">
        <v>70</v>
      </c>
      <c r="G11" s="12">
        <f>'Definición de la empresa'!N5</f>
        <v>35.75398633257403</v>
      </c>
      <c r="H11" s="12">
        <f t="shared" si="0"/>
        <v>2502.7790432801821</v>
      </c>
      <c r="I11" s="12"/>
    </row>
    <row r="12" spans="2:9" x14ac:dyDescent="0.25">
      <c r="B12" s="1"/>
      <c r="C12" s="1"/>
      <c r="D12" s="1">
        <v>3</v>
      </c>
      <c r="E12" s="13" t="s">
        <v>30</v>
      </c>
      <c r="F12" s="11">
        <v>70</v>
      </c>
      <c r="G12" s="12">
        <f>'Definición de la empresa'!N5</f>
        <v>35.75398633257403</v>
      </c>
      <c r="H12" s="12">
        <f t="shared" si="0"/>
        <v>2502.7790432801821</v>
      </c>
      <c r="I12" s="12"/>
    </row>
    <row r="13" spans="2:9" x14ac:dyDescent="0.25">
      <c r="B13" s="1"/>
      <c r="C13" s="1"/>
      <c r="D13" s="1">
        <v>4</v>
      </c>
      <c r="E13" s="13" t="s">
        <v>14</v>
      </c>
      <c r="F13" s="11">
        <v>40</v>
      </c>
      <c r="G13" s="12">
        <f>'Definición de la empresa'!N6</f>
        <v>26.070615034168569</v>
      </c>
      <c r="H13" s="12">
        <f t="shared" si="0"/>
        <v>1042.8246013667426</v>
      </c>
      <c r="I13" s="12"/>
    </row>
    <row r="14" spans="2:9" x14ac:dyDescent="0.25">
      <c r="B14" s="1"/>
      <c r="C14" s="1"/>
      <c r="D14" s="1"/>
      <c r="E14" s="13"/>
      <c r="F14" s="11"/>
      <c r="G14" s="12"/>
      <c r="H14" s="12"/>
      <c r="I14" s="12"/>
    </row>
    <row r="15" spans="2:9" x14ac:dyDescent="0.25">
      <c r="B15" s="3">
        <v>3</v>
      </c>
      <c r="C15" s="1"/>
      <c r="D15" s="1"/>
      <c r="E15" s="10" t="s">
        <v>59</v>
      </c>
      <c r="F15" s="11"/>
      <c r="G15" s="12"/>
      <c r="H15" s="12"/>
      <c r="I15" s="12">
        <f>SUM(H16:H19)</f>
        <v>7301.927733485194</v>
      </c>
    </row>
    <row r="16" spans="2:9" x14ac:dyDescent="0.25">
      <c r="B16" s="1"/>
      <c r="C16" s="1">
        <v>1</v>
      </c>
      <c r="D16" s="1">
        <v>1</v>
      </c>
      <c r="E16" s="13" t="s">
        <v>13</v>
      </c>
      <c r="F16" s="11">
        <v>30</v>
      </c>
      <c r="G16" s="12">
        <f>'Definición de la empresa'!N4</f>
        <v>41.784834851936218</v>
      </c>
      <c r="H16" s="12">
        <f t="shared" si="0"/>
        <v>1253.5450455580865</v>
      </c>
      <c r="I16" s="12"/>
    </row>
    <row r="17" spans="2:9" x14ac:dyDescent="0.25">
      <c r="B17" s="1"/>
      <c r="C17" s="1"/>
      <c r="D17" s="1">
        <v>2</v>
      </c>
      <c r="E17" s="13" t="s">
        <v>29</v>
      </c>
      <c r="F17" s="11">
        <v>70</v>
      </c>
      <c r="G17" s="12">
        <f>'Definición de la empresa'!N5</f>
        <v>35.75398633257403</v>
      </c>
      <c r="H17" s="12">
        <f t="shared" si="0"/>
        <v>2502.7790432801821</v>
      </c>
      <c r="I17" s="12"/>
    </row>
    <row r="18" spans="2:9" x14ac:dyDescent="0.25">
      <c r="B18" s="1"/>
      <c r="C18" s="1"/>
      <c r="D18" s="1">
        <v>3</v>
      </c>
      <c r="E18" s="13" t="s">
        <v>30</v>
      </c>
      <c r="F18" s="11">
        <v>70</v>
      </c>
      <c r="G18" s="12">
        <f>'Definición de la empresa'!N5</f>
        <v>35.75398633257403</v>
      </c>
      <c r="H18" s="12">
        <f t="shared" si="0"/>
        <v>2502.7790432801821</v>
      </c>
      <c r="I18" s="12"/>
    </row>
    <row r="19" spans="2:9" x14ac:dyDescent="0.25">
      <c r="B19" s="1"/>
      <c r="C19" s="1"/>
      <c r="D19" s="1">
        <v>4</v>
      </c>
      <c r="E19" s="13" t="s">
        <v>14</v>
      </c>
      <c r="F19" s="11">
        <v>40</v>
      </c>
      <c r="G19" s="12">
        <f>'Definición de la empresa'!N6</f>
        <v>26.070615034168569</v>
      </c>
      <c r="H19" s="12">
        <f t="shared" si="0"/>
        <v>1042.8246013667426</v>
      </c>
      <c r="I19" s="12"/>
    </row>
    <row r="20" spans="2:9" x14ac:dyDescent="0.25">
      <c r="B20" s="1"/>
      <c r="C20" s="1"/>
      <c r="D20" s="1"/>
      <c r="E20" s="13"/>
      <c r="F20" s="11"/>
      <c r="G20" s="12"/>
      <c r="H20" s="12"/>
      <c r="I20" s="12"/>
    </row>
    <row r="21" spans="2:9" x14ac:dyDescent="0.25">
      <c r="B21" s="3">
        <v>4</v>
      </c>
      <c r="C21" s="1"/>
      <c r="D21" s="1"/>
      <c r="E21" s="10" t="s">
        <v>60</v>
      </c>
      <c r="F21" s="11"/>
      <c r="G21" s="12"/>
      <c r="H21" s="12"/>
      <c r="I21" s="12">
        <f>SUM(H22:H24)</f>
        <v>2205.547665148064</v>
      </c>
    </row>
    <row r="22" spans="2:9" x14ac:dyDescent="0.25">
      <c r="B22" s="1"/>
      <c r="C22" s="1">
        <v>1</v>
      </c>
      <c r="D22" s="1">
        <v>1</v>
      </c>
      <c r="E22" s="13" t="s">
        <v>13</v>
      </c>
      <c r="F22" s="11">
        <v>10</v>
      </c>
      <c r="G22" s="12">
        <f>'Definición de la empresa'!N4</f>
        <v>41.784834851936218</v>
      </c>
      <c r="H22" s="12">
        <f t="shared" si="0"/>
        <v>417.84834851936216</v>
      </c>
      <c r="I22" s="12"/>
    </row>
    <row r="23" spans="2:9" x14ac:dyDescent="0.25">
      <c r="B23" s="1"/>
      <c r="C23" s="1"/>
      <c r="D23" s="1">
        <v>2</v>
      </c>
      <c r="E23" s="13" t="s">
        <v>29</v>
      </c>
      <c r="F23" s="11">
        <v>25</v>
      </c>
      <c r="G23" s="12">
        <f>'Definición de la empresa'!N5</f>
        <v>35.75398633257403</v>
      </c>
      <c r="H23" s="12">
        <f t="shared" si="0"/>
        <v>893.84965831435079</v>
      </c>
      <c r="I23" s="12"/>
    </row>
    <row r="24" spans="2:9" x14ac:dyDescent="0.25">
      <c r="B24" s="1"/>
      <c r="C24" s="1"/>
      <c r="D24" s="1">
        <v>3</v>
      </c>
      <c r="E24" s="13" t="s">
        <v>30</v>
      </c>
      <c r="F24" s="11">
        <v>25</v>
      </c>
      <c r="G24" s="12">
        <f>'Definición de la empresa'!N5</f>
        <v>35.75398633257403</v>
      </c>
      <c r="H24" s="12">
        <f t="shared" si="0"/>
        <v>893.84965831435079</v>
      </c>
      <c r="I24" s="12"/>
    </row>
    <row r="25" spans="2:9" x14ac:dyDescent="0.25">
      <c r="B25" s="1"/>
      <c r="C25" s="1"/>
      <c r="D25" s="1"/>
      <c r="E25" s="13"/>
      <c r="F25" s="11"/>
      <c r="G25" s="12"/>
      <c r="H25" s="12"/>
      <c r="I25" s="12">
        <f>SUM(H27:H29)</f>
        <v>3776.5148063781321</v>
      </c>
    </row>
    <row r="26" spans="2:9" x14ac:dyDescent="0.25">
      <c r="B26" s="3">
        <v>5</v>
      </c>
      <c r="C26" s="1"/>
      <c r="D26" s="1"/>
      <c r="E26" s="10" t="s">
        <v>61</v>
      </c>
      <c r="F26" s="11"/>
      <c r="G26" s="12"/>
      <c r="H26" s="12"/>
      <c r="I26" s="12"/>
    </row>
    <row r="27" spans="2:9" x14ac:dyDescent="0.25">
      <c r="B27" s="1"/>
      <c r="C27" s="1">
        <v>1</v>
      </c>
      <c r="D27" s="1">
        <v>1</v>
      </c>
      <c r="E27" s="13" t="s">
        <v>14</v>
      </c>
      <c r="F27" s="11">
        <v>90</v>
      </c>
      <c r="G27" s="12">
        <f>'Definición de la empresa'!N6</f>
        <v>26.070615034168569</v>
      </c>
      <c r="H27" s="12">
        <f t="shared" si="0"/>
        <v>2346.355353075171</v>
      </c>
      <c r="I27" s="12"/>
    </row>
    <row r="28" spans="2:9" x14ac:dyDescent="0.25">
      <c r="B28" s="1"/>
      <c r="C28" s="1"/>
      <c r="D28" s="1">
        <v>2</v>
      </c>
      <c r="E28" s="13" t="s">
        <v>29</v>
      </c>
      <c r="F28" s="11">
        <v>20</v>
      </c>
      <c r="G28" s="12">
        <f>'Definición de la empresa'!N5</f>
        <v>35.75398633257403</v>
      </c>
      <c r="H28" s="12">
        <f t="shared" si="0"/>
        <v>715.07972665148054</v>
      </c>
      <c r="I28" s="12"/>
    </row>
    <row r="29" spans="2:9" x14ac:dyDescent="0.25">
      <c r="B29" s="1"/>
      <c r="C29" s="1"/>
      <c r="D29" s="1">
        <v>3</v>
      </c>
      <c r="E29" s="13" t="s">
        <v>30</v>
      </c>
      <c r="F29" s="11">
        <v>20</v>
      </c>
      <c r="G29" s="12">
        <f>'Definición de la empresa'!N5</f>
        <v>35.75398633257403</v>
      </c>
      <c r="H29" s="12">
        <f t="shared" si="0"/>
        <v>715.07972665148054</v>
      </c>
      <c r="I29" s="12"/>
    </row>
    <row r="30" spans="2:9" x14ac:dyDescent="0.25">
      <c r="G30" s="8"/>
      <c r="H30" s="8"/>
      <c r="I30" s="9">
        <f>SUM(I4:I29)</f>
        <v>24045.010649202733</v>
      </c>
    </row>
  </sheetData>
  <mergeCells count="1">
    <mergeCell ref="B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66E2F-7047-4279-9BD1-2FFDC24A25C2}">
  <dimension ref="B2:I30"/>
  <sheetViews>
    <sheetView workbookViewId="0">
      <selection activeCell="B2" sqref="B2:I2"/>
    </sheetView>
  </sheetViews>
  <sheetFormatPr baseColWidth="10" defaultRowHeight="15" x14ac:dyDescent="0.25"/>
  <cols>
    <col min="2" max="4" width="3.7109375" customWidth="1"/>
    <col min="5" max="5" width="36.140625" customWidth="1"/>
    <col min="6" max="6" width="11.42578125" customWidth="1"/>
    <col min="9" max="9" width="12.140625" customWidth="1"/>
  </cols>
  <sheetData>
    <row r="2" spans="2:9" x14ac:dyDescent="0.25">
      <c r="B2" s="27" t="s">
        <v>73</v>
      </c>
      <c r="C2" s="27"/>
      <c r="D2" s="27"/>
      <c r="E2" s="27"/>
      <c r="F2" s="27"/>
      <c r="G2" s="27"/>
      <c r="H2" s="27"/>
      <c r="I2" s="27"/>
    </row>
    <row r="3" spans="2:9" x14ac:dyDescent="0.25">
      <c r="B3" s="5" t="s">
        <v>18</v>
      </c>
      <c r="C3" s="5" t="s">
        <v>19</v>
      </c>
      <c r="D3" s="5" t="s">
        <v>20</v>
      </c>
      <c r="E3" s="5" t="s">
        <v>21</v>
      </c>
      <c r="F3" s="5" t="s">
        <v>25</v>
      </c>
      <c r="G3" s="5" t="s">
        <v>26</v>
      </c>
      <c r="H3" s="6" t="s">
        <v>23</v>
      </c>
      <c r="I3" s="5" t="s">
        <v>24</v>
      </c>
    </row>
    <row r="4" spans="2:9" x14ac:dyDescent="0.25">
      <c r="B4" s="3">
        <v>1</v>
      </c>
      <c r="C4" s="1"/>
      <c r="D4" s="1"/>
      <c r="E4" s="10" t="s">
        <v>63</v>
      </c>
      <c r="F4" s="11"/>
      <c r="G4" s="12"/>
      <c r="H4" s="12"/>
      <c r="I4" s="12">
        <f>SUM(H5:H8)</f>
        <v>1671.3933940774486</v>
      </c>
    </row>
    <row r="5" spans="2:9" x14ac:dyDescent="0.25">
      <c r="B5" s="1"/>
      <c r="C5" s="1">
        <v>1</v>
      </c>
      <c r="D5" s="1"/>
      <c r="E5" s="13" t="s">
        <v>62</v>
      </c>
      <c r="F5" s="11"/>
      <c r="G5" s="12"/>
      <c r="H5" s="12"/>
      <c r="I5" s="12"/>
    </row>
    <row r="6" spans="2:9" x14ac:dyDescent="0.25">
      <c r="B6" s="1"/>
      <c r="C6" s="1"/>
      <c r="D6" s="1">
        <v>1</v>
      </c>
      <c r="E6" s="14" t="s">
        <v>13</v>
      </c>
      <c r="F6" s="11">
        <v>20</v>
      </c>
      <c r="G6" s="12">
        <f>'Definición de la empresa'!N4</f>
        <v>41.784834851936218</v>
      </c>
      <c r="H6" s="12">
        <f t="shared" ref="H6:H29" si="0">F6*G6</f>
        <v>835.69669703872432</v>
      </c>
      <c r="I6" s="12"/>
    </row>
    <row r="7" spans="2:9" x14ac:dyDescent="0.25">
      <c r="B7" s="1"/>
      <c r="C7" s="1">
        <v>2</v>
      </c>
      <c r="D7" s="1"/>
      <c r="E7" s="13" t="s">
        <v>64</v>
      </c>
      <c r="F7" s="11"/>
      <c r="G7" s="12"/>
      <c r="H7" s="12"/>
      <c r="I7" s="12"/>
    </row>
    <row r="8" spans="2:9" x14ac:dyDescent="0.25">
      <c r="B8" s="1"/>
      <c r="C8" s="1"/>
      <c r="D8" s="1">
        <v>1</v>
      </c>
      <c r="E8" s="14" t="s">
        <v>13</v>
      </c>
      <c r="F8" s="11">
        <v>20</v>
      </c>
      <c r="G8" s="12">
        <f>'Definición de la empresa'!N4</f>
        <v>41.784834851936218</v>
      </c>
      <c r="H8" s="12">
        <f t="shared" si="0"/>
        <v>835.69669703872432</v>
      </c>
      <c r="I8" s="12"/>
    </row>
    <row r="9" spans="2:9" x14ac:dyDescent="0.25">
      <c r="B9" s="1"/>
      <c r="C9" s="1"/>
      <c r="D9" s="1"/>
      <c r="E9" s="13"/>
      <c r="F9" s="11"/>
      <c r="G9" s="12"/>
      <c r="H9" s="12"/>
      <c r="I9" s="12"/>
    </row>
    <row r="10" spans="2:9" x14ac:dyDescent="0.25">
      <c r="B10" s="3">
        <v>2</v>
      </c>
      <c r="C10" s="1"/>
      <c r="D10" s="1"/>
      <c r="E10" s="10" t="s">
        <v>65</v>
      </c>
      <c r="F10" s="11"/>
      <c r="G10" s="12"/>
      <c r="H10" s="12"/>
      <c r="I10" s="12">
        <f>SUM(H11:H18)</f>
        <v>2028.9332574031889</v>
      </c>
    </row>
    <row r="11" spans="2:9" x14ac:dyDescent="0.25">
      <c r="B11" s="1"/>
      <c r="C11" s="1">
        <v>1</v>
      </c>
      <c r="D11" s="1"/>
      <c r="E11" s="13" t="s">
        <v>66</v>
      </c>
      <c r="F11" s="11"/>
      <c r="G11" s="12"/>
      <c r="H11" s="12"/>
      <c r="I11" s="12"/>
    </row>
    <row r="12" spans="2:9" x14ac:dyDescent="0.25">
      <c r="B12" s="1"/>
      <c r="C12" s="1"/>
      <c r="D12" s="1">
        <v>1</v>
      </c>
      <c r="E12" s="14" t="s">
        <v>13</v>
      </c>
      <c r="F12" s="11">
        <v>10</v>
      </c>
      <c r="G12" s="12">
        <f>'Definición de la empresa'!N4</f>
        <v>41.784834851936218</v>
      </c>
      <c r="H12" s="12">
        <f t="shared" si="0"/>
        <v>417.84834851936216</v>
      </c>
      <c r="I12" s="12"/>
    </row>
    <row r="13" spans="2:9" x14ac:dyDescent="0.25">
      <c r="B13" s="1"/>
      <c r="C13" s="1"/>
      <c r="D13" s="1">
        <v>2</v>
      </c>
      <c r="E13" s="14" t="s">
        <v>29</v>
      </c>
      <c r="F13" s="11">
        <v>5</v>
      </c>
      <c r="G13" s="12">
        <f>'Definición de la empresa'!N5</f>
        <v>35.75398633257403</v>
      </c>
      <c r="H13" s="12">
        <f t="shared" si="0"/>
        <v>178.76993166287014</v>
      </c>
      <c r="I13" s="12"/>
    </row>
    <row r="14" spans="2:9" x14ac:dyDescent="0.25">
      <c r="B14" s="1"/>
      <c r="C14" s="1">
        <v>2</v>
      </c>
      <c r="D14" s="1"/>
      <c r="E14" s="13" t="s">
        <v>67</v>
      </c>
      <c r="F14" s="11"/>
      <c r="G14" s="12"/>
      <c r="H14" s="12"/>
      <c r="I14" s="12"/>
    </row>
    <row r="15" spans="2:9" x14ac:dyDescent="0.25">
      <c r="B15" s="1"/>
      <c r="C15" s="1"/>
      <c r="D15" s="1">
        <v>1</v>
      </c>
      <c r="E15" s="14" t="s">
        <v>13</v>
      </c>
      <c r="F15" s="11">
        <v>10</v>
      </c>
      <c r="G15" s="12">
        <f>'Definición de la empresa'!N4</f>
        <v>41.784834851936218</v>
      </c>
      <c r="H15" s="12">
        <f t="shared" si="0"/>
        <v>417.84834851936216</v>
      </c>
      <c r="I15" s="12"/>
    </row>
    <row r="16" spans="2:9" x14ac:dyDescent="0.25">
      <c r="B16" s="1"/>
      <c r="C16" s="1"/>
      <c r="D16" s="1">
        <v>2</v>
      </c>
      <c r="E16" s="14" t="s">
        <v>30</v>
      </c>
      <c r="F16" s="11">
        <v>5</v>
      </c>
      <c r="G16" s="12">
        <f>'Definición de la empresa'!N5</f>
        <v>35.75398633257403</v>
      </c>
      <c r="H16" s="12">
        <f t="shared" si="0"/>
        <v>178.76993166287014</v>
      </c>
      <c r="I16" s="12"/>
    </row>
    <row r="17" spans="2:9" x14ac:dyDescent="0.25">
      <c r="B17" s="1"/>
      <c r="C17" s="1">
        <v>3</v>
      </c>
      <c r="D17" s="1"/>
      <c r="E17" s="13" t="s">
        <v>68</v>
      </c>
      <c r="F17" s="11"/>
      <c r="G17" s="12"/>
      <c r="H17" s="12"/>
      <c r="I17" s="12"/>
    </row>
    <row r="18" spans="2:9" x14ac:dyDescent="0.25">
      <c r="B18" s="1"/>
      <c r="C18" s="1"/>
      <c r="D18" s="1">
        <v>1</v>
      </c>
      <c r="E18" s="14" t="s">
        <v>13</v>
      </c>
      <c r="F18" s="11">
        <v>20</v>
      </c>
      <c r="G18" s="12">
        <f>'Definición de la empresa'!N4</f>
        <v>41.784834851936218</v>
      </c>
      <c r="H18" s="12">
        <f t="shared" si="0"/>
        <v>835.69669703872432</v>
      </c>
      <c r="I18" s="12"/>
    </row>
    <row r="19" spans="2:9" x14ac:dyDescent="0.25">
      <c r="B19" s="1"/>
      <c r="C19" s="1"/>
      <c r="D19" s="1"/>
      <c r="E19" s="13"/>
      <c r="F19" s="11"/>
      <c r="G19" s="12"/>
      <c r="H19" s="12"/>
      <c r="I19" s="12"/>
    </row>
    <row r="20" spans="2:9" x14ac:dyDescent="0.25">
      <c r="B20" s="3">
        <v>3</v>
      </c>
      <c r="C20" s="1"/>
      <c r="D20" s="1"/>
      <c r="E20" s="10" t="s">
        <v>69</v>
      </c>
      <c r="F20" s="11"/>
      <c r="G20" s="12"/>
      <c r="H20" s="12"/>
      <c r="I20" s="12">
        <f>SUM(H21:H29)</f>
        <v>4876.510193621868</v>
      </c>
    </row>
    <row r="21" spans="2:9" x14ac:dyDescent="0.25">
      <c r="B21" s="1"/>
      <c r="C21" s="1">
        <v>1</v>
      </c>
      <c r="D21" s="1"/>
      <c r="E21" s="13" t="s">
        <v>70</v>
      </c>
      <c r="F21" s="11"/>
      <c r="G21" s="12"/>
      <c r="H21" s="12"/>
      <c r="I21" s="12"/>
    </row>
    <row r="22" spans="2:9" x14ac:dyDescent="0.25">
      <c r="B22" s="1"/>
      <c r="C22" s="1"/>
      <c r="D22" s="1">
        <v>1</v>
      </c>
      <c r="E22" s="14" t="s">
        <v>13</v>
      </c>
      <c r="F22" s="11">
        <v>20</v>
      </c>
      <c r="G22" s="12">
        <f>'Definición de la empresa'!N4</f>
        <v>41.784834851936218</v>
      </c>
      <c r="H22" s="12">
        <f t="shared" si="0"/>
        <v>835.69669703872432</v>
      </c>
      <c r="I22" s="12"/>
    </row>
    <row r="23" spans="2:9" x14ac:dyDescent="0.25">
      <c r="B23" s="1"/>
      <c r="C23" s="1"/>
      <c r="D23" s="1">
        <v>2</v>
      </c>
      <c r="E23" s="14" t="s">
        <v>29</v>
      </c>
      <c r="F23" s="11">
        <v>20</v>
      </c>
      <c r="G23" s="12">
        <f>'Definición de la empresa'!N5</f>
        <v>35.75398633257403</v>
      </c>
      <c r="H23" s="12">
        <f t="shared" si="0"/>
        <v>715.07972665148054</v>
      </c>
      <c r="I23" s="12"/>
    </row>
    <row r="24" spans="2:9" x14ac:dyDescent="0.25">
      <c r="B24" s="1"/>
      <c r="C24" s="1">
        <v>2</v>
      </c>
      <c r="D24" s="1"/>
      <c r="E24" s="13" t="s">
        <v>71</v>
      </c>
      <c r="F24" s="11"/>
      <c r="G24" s="12"/>
      <c r="H24" s="12"/>
      <c r="I24" s="12"/>
    </row>
    <row r="25" spans="2:9" x14ac:dyDescent="0.25">
      <c r="B25" s="1"/>
      <c r="C25" s="1"/>
      <c r="D25" s="1">
        <v>1</v>
      </c>
      <c r="E25" s="14" t="s">
        <v>13</v>
      </c>
      <c r="F25" s="11">
        <v>30</v>
      </c>
      <c r="G25" s="12">
        <f>'Definición de la empresa'!N4</f>
        <v>41.784834851936218</v>
      </c>
      <c r="H25" s="12">
        <f t="shared" si="0"/>
        <v>1253.5450455580865</v>
      </c>
      <c r="I25" s="12"/>
    </row>
    <row r="26" spans="2:9" x14ac:dyDescent="0.25">
      <c r="B26" s="1"/>
      <c r="C26" s="1"/>
      <c r="D26" s="1">
        <v>2</v>
      </c>
      <c r="E26" s="14" t="s">
        <v>30</v>
      </c>
      <c r="F26" s="11">
        <v>20</v>
      </c>
      <c r="G26" s="12">
        <f>'Definición de la empresa'!N5</f>
        <v>35.75398633257403</v>
      </c>
      <c r="H26" s="12">
        <f t="shared" si="0"/>
        <v>715.07972665148054</v>
      </c>
      <c r="I26" s="12"/>
    </row>
    <row r="27" spans="2:9" x14ac:dyDescent="0.25">
      <c r="B27" s="1"/>
      <c r="C27" s="1">
        <v>3</v>
      </c>
      <c r="D27" s="1"/>
      <c r="E27" s="13" t="s">
        <v>72</v>
      </c>
      <c r="F27" s="11"/>
      <c r="G27" s="12"/>
      <c r="H27" s="12"/>
      <c r="I27" s="12"/>
    </row>
    <row r="28" spans="2:9" x14ac:dyDescent="0.25">
      <c r="B28" s="1"/>
      <c r="C28" s="1"/>
      <c r="D28" s="1">
        <v>1</v>
      </c>
      <c r="E28" s="14" t="s">
        <v>13</v>
      </c>
      <c r="F28" s="11">
        <v>20</v>
      </c>
      <c r="G28" s="12">
        <f>'Definición de la empresa'!N4</f>
        <v>41.784834851936218</v>
      </c>
      <c r="H28" s="12">
        <f t="shared" si="0"/>
        <v>835.69669703872432</v>
      </c>
      <c r="I28" s="12"/>
    </row>
    <row r="29" spans="2:9" x14ac:dyDescent="0.25">
      <c r="B29" s="1"/>
      <c r="C29" s="1"/>
      <c r="D29" s="1">
        <v>2</v>
      </c>
      <c r="E29" s="14" t="s">
        <v>14</v>
      </c>
      <c r="F29" s="11">
        <v>20</v>
      </c>
      <c r="G29" s="12">
        <f>'Definición de la empresa'!N6</f>
        <v>26.070615034168569</v>
      </c>
      <c r="H29" s="12">
        <f t="shared" si="0"/>
        <v>521.41230068337131</v>
      </c>
      <c r="I29" s="12"/>
    </row>
    <row r="30" spans="2:9" x14ac:dyDescent="0.25">
      <c r="G30" s="8"/>
      <c r="H30" s="8"/>
      <c r="I30" s="9">
        <f>SUM(I4:I29)</f>
        <v>8576.8368451025053</v>
      </c>
    </row>
  </sheetData>
  <mergeCells count="1">
    <mergeCell ref="B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DF83D-42C3-4DE4-B2AF-46C5566C1C39}">
  <dimension ref="B2:J24"/>
  <sheetViews>
    <sheetView workbookViewId="0">
      <selection activeCell="B2" sqref="B2:J2"/>
    </sheetView>
  </sheetViews>
  <sheetFormatPr baseColWidth="10" defaultRowHeight="15" x14ac:dyDescent="0.25"/>
  <cols>
    <col min="2" max="4" width="3.7109375" customWidth="1"/>
    <col min="5" max="5" width="36.28515625" customWidth="1"/>
    <col min="6" max="6" width="13.28515625" customWidth="1"/>
    <col min="7" max="8" width="15" customWidth="1"/>
    <col min="9" max="9" width="15.28515625" customWidth="1"/>
  </cols>
  <sheetData>
    <row r="2" spans="2:10" x14ac:dyDescent="0.25">
      <c r="B2" s="27" t="s">
        <v>74</v>
      </c>
      <c r="C2" s="27"/>
      <c r="D2" s="27"/>
      <c r="E2" s="27"/>
      <c r="F2" s="27"/>
      <c r="G2" s="27"/>
      <c r="H2" s="27"/>
      <c r="I2" s="27"/>
      <c r="J2" s="27"/>
    </row>
    <row r="3" spans="2:10" x14ac:dyDescent="0.25"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92</v>
      </c>
      <c r="H3" s="5" t="s">
        <v>98</v>
      </c>
      <c r="I3" s="6" t="s">
        <v>93</v>
      </c>
      <c r="J3" s="5" t="s">
        <v>94</v>
      </c>
    </row>
    <row r="4" spans="2:10" x14ac:dyDescent="0.25">
      <c r="B4" s="3">
        <v>1</v>
      </c>
      <c r="C4" s="1"/>
      <c r="D4" s="1"/>
      <c r="E4" s="10" t="s">
        <v>75</v>
      </c>
      <c r="F4" s="24"/>
      <c r="G4" s="24"/>
      <c r="H4" s="24"/>
      <c r="I4" s="24"/>
      <c r="J4" s="22"/>
    </row>
    <row r="5" spans="2:10" x14ac:dyDescent="0.25">
      <c r="B5" s="1"/>
      <c r="C5" s="1">
        <v>1</v>
      </c>
      <c r="D5" s="1">
        <v>1</v>
      </c>
      <c r="E5" s="13" t="s">
        <v>76</v>
      </c>
      <c r="F5" s="22">
        <v>1</v>
      </c>
      <c r="G5" s="17">
        <v>1000</v>
      </c>
      <c r="H5" s="17">
        <f>G5/J5</f>
        <v>200</v>
      </c>
      <c r="I5" s="24" t="s">
        <v>95</v>
      </c>
      <c r="J5" s="22">
        <v>5</v>
      </c>
    </row>
    <row r="6" spans="2:10" x14ac:dyDescent="0.25">
      <c r="B6" s="1"/>
      <c r="C6" s="1"/>
      <c r="D6" s="1">
        <v>2</v>
      </c>
      <c r="E6" s="13" t="s">
        <v>77</v>
      </c>
      <c r="F6" s="22">
        <v>1</v>
      </c>
      <c r="G6" s="17">
        <v>1000</v>
      </c>
      <c r="H6" s="17">
        <f t="shared" ref="H6:H9" si="0">G6/J6</f>
        <v>200</v>
      </c>
      <c r="I6" s="24" t="s">
        <v>95</v>
      </c>
      <c r="J6" s="22">
        <v>5</v>
      </c>
    </row>
    <row r="7" spans="2:10" x14ac:dyDescent="0.25">
      <c r="B7" s="1"/>
      <c r="C7" s="1"/>
      <c r="D7" s="1">
        <v>3</v>
      </c>
      <c r="E7" s="13" t="s">
        <v>78</v>
      </c>
      <c r="F7" s="22">
        <v>1</v>
      </c>
      <c r="G7" s="17">
        <v>1000</v>
      </c>
      <c r="H7" s="17">
        <f t="shared" si="0"/>
        <v>200</v>
      </c>
      <c r="I7" s="24" t="s">
        <v>95</v>
      </c>
      <c r="J7" s="22">
        <v>5</v>
      </c>
    </row>
    <row r="8" spans="2:10" x14ac:dyDescent="0.25">
      <c r="B8" s="1"/>
      <c r="C8" s="1"/>
      <c r="D8" s="1">
        <v>4</v>
      </c>
      <c r="E8" s="13" t="s">
        <v>79</v>
      </c>
      <c r="F8" s="22">
        <v>1</v>
      </c>
      <c r="G8" s="17">
        <v>1000</v>
      </c>
      <c r="H8" s="17">
        <f t="shared" si="0"/>
        <v>200</v>
      </c>
      <c r="I8" s="24" t="s">
        <v>95</v>
      </c>
      <c r="J8" s="22">
        <v>5</v>
      </c>
    </row>
    <row r="9" spans="2:10" x14ac:dyDescent="0.25">
      <c r="B9" s="1"/>
      <c r="C9" s="1"/>
      <c r="D9" s="1">
        <v>5</v>
      </c>
      <c r="E9" s="13" t="s">
        <v>80</v>
      </c>
      <c r="F9" s="22">
        <v>1</v>
      </c>
      <c r="G9" s="17">
        <v>1000</v>
      </c>
      <c r="H9" s="17">
        <f t="shared" si="0"/>
        <v>200</v>
      </c>
      <c r="I9" s="24" t="s">
        <v>95</v>
      </c>
      <c r="J9" s="22">
        <v>5</v>
      </c>
    </row>
    <row r="10" spans="2:10" x14ac:dyDescent="0.25">
      <c r="B10" s="3"/>
      <c r="C10" s="1"/>
      <c r="D10" s="1"/>
      <c r="E10" s="10"/>
      <c r="F10" s="22"/>
      <c r="G10" s="17"/>
      <c r="H10" s="17"/>
      <c r="I10" s="24"/>
      <c r="J10" s="22"/>
    </row>
    <row r="11" spans="2:10" x14ac:dyDescent="0.25">
      <c r="B11" s="3">
        <v>2</v>
      </c>
      <c r="C11" s="1"/>
      <c r="D11" s="1"/>
      <c r="E11" s="10" t="s">
        <v>81</v>
      </c>
      <c r="F11" s="22"/>
      <c r="G11" s="17"/>
      <c r="H11" s="17"/>
      <c r="I11" s="24"/>
      <c r="J11" s="22"/>
    </row>
    <row r="12" spans="2:10" x14ac:dyDescent="0.25">
      <c r="B12" s="1"/>
      <c r="C12" s="1">
        <v>1</v>
      </c>
      <c r="D12" s="1">
        <v>1</v>
      </c>
      <c r="E12" s="13" t="s">
        <v>82</v>
      </c>
      <c r="F12" s="22">
        <v>1</v>
      </c>
      <c r="G12" s="17"/>
      <c r="H12" s="17">
        <v>180</v>
      </c>
      <c r="I12" s="24" t="s">
        <v>96</v>
      </c>
      <c r="J12" s="22"/>
    </row>
    <row r="13" spans="2:10" x14ac:dyDescent="0.25">
      <c r="B13" s="1"/>
      <c r="C13" s="1"/>
      <c r="D13" s="1">
        <v>2</v>
      </c>
      <c r="E13" s="13" t="s">
        <v>83</v>
      </c>
      <c r="F13" s="22">
        <v>1</v>
      </c>
      <c r="G13" s="17"/>
      <c r="H13" s="17">
        <v>300</v>
      </c>
      <c r="I13" s="24" t="s">
        <v>96</v>
      </c>
      <c r="J13" s="22"/>
    </row>
    <row r="14" spans="2:10" x14ac:dyDescent="0.25">
      <c r="B14" s="1"/>
      <c r="C14" s="1"/>
      <c r="D14" s="1">
        <v>3</v>
      </c>
      <c r="E14" s="13" t="s">
        <v>84</v>
      </c>
      <c r="F14" s="22">
        <v>1</v>
      </c>
      <c r="G14" s="17"/>
      <c r="H14" s="17">
        <v>240</v>
      </c>
      <c r="I14" s="24" t="s">
        <v>96</v>
      </c>
      <c r="J14" s="22"/>
    </row>
    <row r="15" spans="2:10" x14ac:dyDescent="0.25">
      <c r="B15" s="1"/>
      <c r="C15" s="1"/>
      <c r="D15" s="1"/>
      <c r="E15" s="13"/>
      <c r="F15" s="22"/>
      <c r="G15" s="17"/>
      <c r="H15" s="17"/>
      <c r="I15" s="24"/>
      <c r="J15" s="22"/>
    </row>
    <row r="16" spans="2:10" x14ac:dyDescent="0.25">
      <c r="B16" s="3">
        <v>3</v>
      </c>
      <c r="C16" s="1"/>
      <c r="D16" s="1"/>
      <c r="E16" s="10" t="s">
        <v>85</v>
      </c>
      <c r="F16" s="22"/>
      <c r="G16" s="17"/>
      <c r="H16" s="17"/>
      <c r="I16" s="24"/>
      <c r="J16" s="22"/>
    </row>
    <row r="17" spans="2:10" x14ac:dyDescent="0.25">
      <c r="B17" s="1"/>
      <c r="C17" s="1">
        <v>1</v>
      </c>
      <c r="D17" s="1">
        <v>1</v>
      </c>
      <c r="E17" s="13" t="s">
        <v>86</v>
      </c>
      <c r="F17" s="22">
        <v>1</v>
      </c>
      <c r="G17" s="17">
        <v>20</v>
      </c>
      <c r="H17" s="25"/>
      <c r="I17" s="24" t="s">
        <v>97</v>
      </c>
      <c r="J17" s="22"/>
    </row>
    <row r="18" spans="2:10" x14ac:dyDescent="0.25">
      <c r="B18" s="1"/>
      <c r="C18" s="1"/>
      <c r="D18" s="1">
        <v>2</v>
      </c>
      <c r="E18" s="13" t="s">
        <v>87</v>
      </c>
      <c r="F18" s="22">
        <v>1</v>
      </c>
      <c r="G18" s="17">
        <v>100</v>
      </c>
      <c r="I18" s="24" t="s">
        <v>97</v>
      </c>
      <c r="J18" s="22"/>
    </row>
    <row r="19" spans="2:10" x14ac:dyDescent="0.25">
      <c r="B19" s="1"/>
      <c r="C19" s="1"/>
      <c r="D19" s="1"/>
      <c r="E19" s="13"/>
      <c r="F19" s="22"/>
      <c r="G19" s="17"/>
      <c r="H19" s="17"/>
      <c r="I19" s="24"/>
      <c r="J19" s="22"/>
    </row>
    <row r="20" spans="2:10" x14ac:dyDescent="0.25">
      <c r="B20" s="3">
        <v>4</v>
      </c>
      <c r="C20" s="1"/>
      <c r="D20" s="1"/>
      <c r="E20" s="10" t="s">
        <v>89</v>
      </c>
      <c r="F20" s="22"/>
      <c r="G20" s="17"/>
      <c r="H20" s="17"/>
      <c r="I20" s="24"/>
      <c r="J20" s="22"/>
    </row>
    <row r="21" spans="2:10" x14ac:dyDescent="0.25">
      <c r="B21" s="1"/>
      <c r="C21" s="1">
        <v>1</v>
      </c>
      <c r="D21" s="1">
        <v>1</v>
      </c>
      <c r="E21" s="13" t="s">
        <v>88</v>
      </c>
      <c r="F21" s="22">
        <v>1</v>
      </c>
      <c r="G21" s="17"/>
      <c r="H21" s="17">
        <v>100</v>
      </c>
      <c r="I21" s="24" t="s">
        <v>96</v>
      </c>
      <c r="J21" s="22"/>
    </row>
    <row r="22" spans="2:10" x14ac:dyDescent="0.25">
      <c r="B22" s="1"/>
      <c r="C22" s="1"/>
      <c r="D22" s="1">
        <v>2</v>
      </c>
      <c r="E22" s="13" t="s">
        <v>90</v>
      </c>
      <c r="F22" s="22">
        <v>1</v>
      </c>
      <c r="G22" s="17"/>
      <c r="H22" s="17">
        <v>200</v>
      </c>
      <c r="I22" s="24" t="s">
        <v>96</v>
      </c>
      <c r="J22" s="22"/>
    </row>
    <row r="23" spans="2:10" x14ac:dyDescent="0.25">
      <c r="B23" s="1"/>
      <c r="C23" s="1"/>
      <c r="D23" s="1">
        <v>3</v>
      </c>
      <c r="E23" s="13" t="s">
        <v>91</v>
      </c>
      <c r="F23" s="22">
        <v>1</v>
      </c>
      <c r="G23" s="17"/>
      <c r="H23" s="17">
        <v>150</v>
      </c>
      <c r="I23" s="24" t="s">
        <v>96</v>
      </c>
      <c r="J23" s="22"/>
    </row>
    <row r="24" spans="2:10" x14ac:dyDescent="0.25">
      <c r="F24" s="26" t="s">
        <v>99</v>
      </c>
      <c r="G24" s="9">
        <f>SUM(G5:G23)</f>
        <v>5120</v>
      </c>
      <c r="H24" s="9">
        <f>SUM(H5:H23)</f>
        <v>2170</v>
      </c>
      <c r="I24" s="8"/>
    </row>
  </sheetData>
  <mergeCells count="1">
    <mergeCell ref="B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C8963-F754-4DCD-9DAA-3CC65FBABD97}">
  <dimension ref="B2:I24"/>
  <sheetViews>
    <sheetView workbookViewId="0">
      <selection activeCell="B2" sqref="B2:I2"/>
    </sheetView>
  </sheetViews>
  <sheetFormatPr baseColWidth="10" defaultRowHeight="15" x14ac:dyDescent="0.25"/>
  <cols>
    <col min="2" max="4" width="4" customWidth="1"/>
    <col min="5" max="5" width="35.5703125" customWidth="1"/>
  </cols>
  <sheetData>
    <row r="2" spans="2:9" x14ac:dyDescent="0.25">
      <c r="B2" s="27" t="s">
        <v>110</v>
      </c>
      <c r="C2" s="27"/>
      <c r="D2" s="27"/>
      <c r="E2" s="27"/>
      <c r="F2" s="27"/>
      <c r="G2" s="27"/>
      <c r="H2" s="27"/>
      <c r="I2" s="27"/>
    </row>
    <row r="3" spans="2:9" x14ac:dyDescent="0.25">
      <c r="B3" s="5" t="s">
        <v>18</v>
      </c>
      <c r="C3" s="5" t="s">
        <v>19</v>
      </c>
      <c r="D3" s="5" t="s">
        <v>20</v>
      </c>
      <c r="E3" s="5" t="s">
        <v>21</v>
      </c>
      <c r="F3" s="5" t="s">
        <v>25</v>
      </c>
      <c r="G3" s="5" t="s">
        <v>26</v>
      </c>
      <c r="H3" s="6" t="s">
        <v>23</v>
      </c>
      <c r="I3" s="5" t="s">
        <v>24</v>
      </c>
    </row>
    <row r="4" spans="2:9" x14ac:dyDescent="0.25">
      <c r="B4" s="3">
        <v>1</v>
      </c>
      <c r="C4" s="1"/>
      <c r="D4" s="1"/>
      <c r="E4" s="10" t="s">
        <v>101</v>
      </c>
      <c r="F4" s="11"/>
      <c r="G4" s="12"/>
      <c r="H4" s="12"/>
      <c r="I4" s="12">
        <f>SUM(H4:H14)</f>
        <v>3575.3986332574023</v>
      </c>
    </row>
    <row r="5" spans="2:9" x14ac:dyDescent="0.25">
      <c r="B5" s="1"/>
      <c r="C5" s="1">
        <v>1</v>
      </c>
      <c r="D5" s="1"/>
      <c r="E5" s="13" t="s">
        <v>102</v>
      </c>
      <c r="F5" s="11"/>
      <c r="G5" s="12"/>
      <c r="H5" s="12"/>
      <c r="I5" s="12"/>
    </row>
    <row r="6" spans="2:9" x14ac:dyDescent="0.25">
      <c r="B6" s="1"/>
      <c r="C6" s="1"/>
      <c r="D6" s="1">
        <v>1</v>
      </c>
      <c r="E6" s="14" t="s">
        <v>29</v>
      </c>
      <c r="F6" s="11">
        <v>20</v>
      </c>
      <c r="G6" s="12">
        <f>'Definición de la empresa'!N5</f>
        <v>35.75398633257403</v>
      </c>
      <c r="H6" s="12">
        <f>F6*G6</f>
        <v>715.07972665148054</v>
      </c>
      <c r="I6" s="12"/>
    </row>
    <row r="7" spans="2:9" x14ac:dyDescent="0.25">
      <c r="B7" s="1"/>
      <c r="C7" s="1"/>
      <c r="D7" s="1">
        <v>2</v>
      </c>
      <c r="E7" s="14" t="s">
        <v>30</v>
      </c>
      <c r="F7" s="11">
        <v>20</v>
      </c>
      <c r="G7" s="12">
        <f>'Definición de la empresa'!N5</f>
        <v>35.75398633257403</v>
      </c>
      <c r="H7" s="12">
        <f t="shared" ref="H7:H23" si="0">F7*G7</f>
        <v>715.07972665148054</v>
      </c>
      <c r="I7" s="12"/>
    </row>
    <row r="8" spans="2:9" x14ac:dyDescent="0.25">
      <c r="B8" s="1"/>
      <c r="C8" s="1">
        <v>2</v>
      </c>
      <c r="D8" s="1"/>
      <c r="E8" s="13" t="s">
        <v>103</v>
      </c>
      <c r="F8" s="11"/>
      <c r="G8" s="12"/>
      <c r="H8" s="12"/>
      <c r="I8" s="12"/>
    </row>
    <row r="9" spans="2:9" x14ac:dyDescent="0.25">
      <c r="B9" s="1"/>
      <c r="C9" s="1"/>
      <c r="D9" s="1">
        <v>1</v>
      </c>
      <c r="E9" s="14" t="s">
        <v>29</v>
      </c>
      <c r="F9" s="11">
        <v>20</v>
      </c>
      <c r="G9" s="12">
        <f>'Definición de la empresa'!N5</f>
        <v>35.75398633257403</v>
      </c>
      <c r="H9" s="12">
        <f t="shared" si="0"/>
        <v>715.07972665148054</v>
      </c>
      <c r="I9" s="12"/>
    </row>
    <row r="10" spans="2:9" x14ac:dyDescent="0.25">
      <c r="B10" s="3"/>
      <c r="C10" s="1"/>
      <c r="D10" s="1">
        <v>2</v>
      </c>
      <c r="E10" s="14" t="s">
        <v>30</v>
      </c>
      <c r="F10" s="11">
        <v>20</v>
      </c>
      <c r="G10" s="12">
        <f>'Definición de la empresa'!N5</f>
        <v>35.75398633257403</v>
      </c>
      <c r="H10" s="12">
        <f t="shared" si="0"/>
        <v>715.07972665148054</v>
      </c>
      <c r="I10" s="12"/>
    </row>
    <row r="11" spans="2:9" x14ac:dyDescent="0.25">
      <c r="B11" s="1"/>
      <c r="C11" s="1">
        <v>1</v>
      </c>
      <c r="D11" s="1"/>
      <c r="E11" s="13" t="s">
        <v>104</v>
      </c>
      <c r="F11" s="11"/>
      <c r="G11" s="12"/>
      <c r="H11" s="12"/>
      <c r="I11" s="12"/>
    </row>
    <row r="12" spans="2:9" x14ac:dyDescent="0.25">
      <c r="B12" s="1"/>
      <c r="C12" s="1"/>
      <c r="D12" s="1">
        <v>1</v>
      </c>
      <c r="E12" s="14" t="s">
        <v>29</v>
      </c>
      <c r="F12" s="11">
        <v>10</v>
      </c>
      <c r="G12" s="12">
        <f>'Definición de la empresa'!N5</f>
        <v>35.75398633257403</v>
      </c>
      <c r="H12" s="12">
        <f t="shared" si="0"/>
        <v>357.53986332574027</v>
      </c>
      <c r="I12" s="12"/>
    </row>
    <row r="13" spans="2:9" x14ac:dyDescent="0.25">
      <c r="B13" s="1"/>
      <c r="C13" s="1"/>
      <c r="D13" s="1">
        <v>2</v>
      </c>
      <c r="E13" s="14" t="s">
        <v>30</v>
      </c>
      <c r="F13" s="11">
        <v>10</v>
      </c>
      <c r="G13" s="12">
        <f>'Definición de la empresa'!N5</f>
        <v>35.75398633257403</v>
      </c>
      <c r="H13" s="12">
        <f t="shared" si="0"/>
        <v>357.53986332574027</v>
      </c>
      <c r="I13" s="12"/>
    </row>
    <row r="14" spans="2:9" x14ac:dyDescent="0.25">
      <c r="B14" s="1"/>
      <c r="C14" s="1"/>
      <c r="D14" s="1"/>
      <c r="E14" s="13"/>
      <c r="F14" s="11"/>
      <c r="G14" s="12"/>
      <c r="H14" s="12"/>
      <c r="I14" s="12"/>
    </row>
    <row r="15" spans="2:9" x14ac:dyDescent="0.25">
      <c r="B15" s="3">
        <v>2</v>
      </c>
      <c r="C15" s="1"/>
      <c r="D15" s="1"/>
      <c r="E15" s="10" t="s">
        <v>105</v>
      </c>
      <c r="F15" s="11"/>
      <c r="G15" s="12"/>
      <c r="H15" s="12"/>
      <c r="I15" s="12">
        <f>SUM(H16:H23)</f>
        <v>1371.5753872437356</v>
      </c>
    </row>
    <row r="16" spans="2:9" x14ac:dyDescent="0.25">
      <c r="B16" s="1"/>
      <c r="C16" s="1">
        <v>1</v>
      </c>
      <c r="D16" s="1"/>
      <c r="E16" s="13" t="s">
        <v>106</v>
      </c>
      <c r="F16" s="11"/>
      <c r="G16" s="12"/>
      <c r="H16" s="12"/>
      <c r="I16" s="12"/>
    </row>
    <row r="17" spans="2:9" x14ac:dyDescent="0.25">
      <c r="B17" s="1"/>
      <c r="C17" s="1"/>
      <c r="D17" s="1">
        <v>1</v>
      </c>
      <c r="E17" s="14" t="s">
        <v>13</v>
      </c>
      <c r="F17" s="11">
        <v>10</v>
      </c>
      <c r="G17" s="12">
        <f>'Definición de la empresa'!N4</f>
        <v>41.784834851936218</v>
      </c>
      <c r="H17" s="12">
        <f t="shared" si="0"/>
        <v>417.84834851936216</v>
      </c>
      <c r="I17" s="12"/>
    </row>
    <row r="18" spans="2:9" x14ac:dyDescent="0.25">
      <c r="B18" s="1"/>
      <c r="C18" s="1"/>
      <c r="D18" s="1">
        <v>2</v>
      </c>
      <c r="E18" s="14" t="s">
        <v>29</v>
      </c>
      <c r="F18" s="11">
        <v>5</v>
      </c>
      <c r="G18" s="12">
        <f>'Definición de la empresa'!N5</f>
        <v>35.75398633257403</v>
      </c>
      <c r="H18" s="12">
        <f t="shared" si="0"/>
        <v>178.76993166287014</v>
      </c>
      <c r="I18" s="12"/>
    </row>
    <row r="19" spans="2:9" x14ac:dyDescent="0.25">
      <c r="B19" s="1"/>
      <c r="C19" s="1"/>
      <c r="D19" s="1">
        <v>3</v>
      </c>
      <c r="E19" s="14" t="s">
        <v>30</v>
      </c>
      <c r="F19" s="11">
        <v>5</v>
      </c>
      <c r="G19" s="12">
        <f>'Definición de la empresa'!N5</f>
        <v>35.75398633257403</v>
      </c>
      <c r="H19" s="12">
        <f t="shared" si="0"/>
        <v>178.76993166287014</v>
      </c>
      <c r="I19" s="12"/>
    </row>
    <row r="20" spans="2:9" x14ac:dyDescent="0.25">
      <c r="B20" s="3"/>
      <c r="C20" s="1">
        <v>1</v>
      </c>
      <c r="D20" s="1"/>
      <c r="E20" s="29" t="s">
        <v>107</v>
      </c>
      <c r="F20" s="11"/>
      <c r="G20" s="12"/>
      <c r="H20" s="12"/>
      <c r="I20" s="12"/>
    </row>
    <row r="21" spans="2:9" x14ac:dyDescent="0.25">
      <c r="B21" s="1"/>
      <c r="C21" s="1"/>
      <c r="D21" s="1">
        <v>1</v>
      </c>
      <c r="E21" s="14" t="s">
        <v>13</v>
      </c>
      <c r="F21" s="11">
        <v>4</v>
      </c>
      <c r="G21" s="12">
        <f>'Definición de la empresa'!N4</f>
        <v>41.784834851936218</v>
      </c>
      <c r="H21" s="12">
        <f t="shared" si="0"/>
        <v>167.13933940774487</v>
      </c>
      <c r="I21" s="12"/>
    </row>
    <row r="22" spans="2:9" x14ac:dyDescent="0.25">
      <c r="B22" s="1"/>
      <c r="C22" s="1"/>
      <c r="D22" s="1">
        <v>2</v>
      </c>
      <c r="E22" s="14" t="s">
        <v>29</v>
      </c>
      <c r="F22" s="11">
        <v>6</v>
      </c>
      <c r="G22" s="12">
        <f>'Definición de la empresa'!N5</f>
        <v>35.75398633257403</v>
      </c>
      <c r="H22" s="12">
        <f t="shared" si="0"/>
        <v>214.52391799544418</v>
      </c>
      <c r="I22" s="12"/>
    </row>
    <row r="23" spans="2:9" x14ac:dyDescent="0.25">
      <c r="B23" s="1"/>
      <c r="C23" s="1"/>
      <c r="D23" s="1">
        <v>3</v>
      </c>
      <c r="E23" s="14" t="s">
        <v>30</v>
      </c>
      <c r="F23" s="11">
        <v>6</v>
      </c>
      <c r="G23" s="12">
        <f>'Definición de la empresa'!N5</f>
        <v>35.75398633257403</v>
      </c>
      <c r="H23" s="12">
        <f t="shared" si="0"/>
        <v>214.52391799544418</v>
      </c>
      <c r="I23" s="12"/>
    </row>
    <row r="24" spans="2:9" x14ac:dyDescent="0.25">
      <c r="G24" s="8"/>
      <c r="H24" s="8"/>
      <c r="I24" s="9">
        <f>SUM(I4:I23)</f>
        <v>4946.9740205011376</v>
      </c>
    </row>
  </sheetData>
  <mergeCells count="1">
    <mergeCell ref="B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8E96-C358-4115-A9BE-9A5A1241333E}">
  <dimension ref="B2:C14"/>
  <sheetViews>
    <sheetView workbookViewId="0">
      <selection activeCell="C14" sqref="C14"/>
    </sheetView>
  </sheetViews>
  <sheetFormatPr baseColWidth="10" defaultRowHeight="15" x14ac:dyDescent="0.25"/>
  <cols>
    <col min="2" max="2" width="47.140625" customWidth="1"/>
    <col min="3" max="3" width="25.85546875" customWidth="1"/>
  </cols>
  <sheetData>
    <row r="2" spans="2:3" x14ac:dyDescent="0.25">
      <c r="B2" s="27" t="s">
        <v>111</v>
      </c>
      <c r="C2" s="27"/>
    </row>
    <row r="3" spans="2:3" x14ac:dyDescent="0.25">
      <c r="B3" s="5" t="s">
        <v>100</v>
      </c>
      <c r="C3" s="5" t="s">
        <v>112</v>
      </c>
    </row>
    <row r="4" spans="2:3" x14ac:dyDescent="0.25">
      <c r="B4" s="29" t="s">
        <v>108</v>
      </c>
      <c r="C4" s="17">
        <f>'Partida 1 - Gestión proyecto'!I40</f>
        <v>31867.641691343964</v>
      </c>
    </row>
    <row r="5" spans="2:3" x14ac:dyDescent="0.25">
      <c r="B5" s="13" t="s">
        <v>109</v>
      </c>
      <c r="C5" s="17">
        <f>'Partida 2 - Análisis sistema'!I41</f>
        <v>13464.326110478358</v>
      </c>
    </row>
    <row r="6" spans="2:3" x14ac:dyDescent="0.25">
      <c r="B6" s="13" t="s">
        <v>56</v>
      </c>
      <c r="C6" s="17">
        <f>'Partida 3 - Desarrollo'!I30</f>
        <v>24045.010649202733</v>
      </c>
    </row>
    <row r="7" spans="2:3" x14ac:dyDescent="0.25">
      <c r="B7" s="13" t="s">
        <v>73</v>
      </c>
      <c r="C7" s="17">
        <f>'Partida 4 - Despliegue'!I30</f>
        <v>8576.8368451025053</v>
      </c>
    </row>
    <row r="8" spans="2:3" x14ac:dyDescent="0.25">
      <c r="B8" s="13" t="s">
        <v>74</v>
      </c>
      <c r="C8" s="17">
        <f>'Partida 5 - Material'!G24</f>
        <v>5120</v>
      </c>
    </row>
    <row r="9" spans="2:3" x14ac:dyDescent="0.25">
      <c r="B9" s="13" t="s">
        <v>110</v>
      </c>
      <c r="C9" s="17">
        <f>'Partida 6 - Otros costes'!I24</f>
        <v>4946.9740205011376</v>
      </c>
    </row>
    <row r="10" spans="2:3" x14ac:dyDescent="0.25">
      <c r="B10" s="30"/>
      <c r="C10" s="31"/>
    </row>
    <row r="11" spans="2:3" x14ac:dyDescent="0.25">
      <c r="B11" s="10" t="s">
        <v>113</v>
      </c>
      <c r="C11" s="21">
        <f>SUM(C4:C9)</f>
        <v>88020.789316628696</v>
      </c>
    </row>
    <row r="12" spans="2:3" x14ac:dyDescent="0.25">
      <c r="B12" s="28" t="s">
        <v>114</v>
      </c>
      <c r="C12" s="17">
        <f>C11*0.2</f>
        <v>17604.157863325741</v>
      </c>
    </row>
    <row r="13" spans="2:3" x14ac:dyDescent="0.25">
      <c r="B13" s="32"/>
      <c r="C13" s="31"/>
    </row>
    <row r="14" spans="2:3" x14ac:dyDescent="0.25">
      <c r="B14" s="10" t="s">
        <v>115</v>
      </c>
      <c r="C14" s="21">
        <f>SUM(C11:C12)</f>
        <v>105624.94717995444</v>
      </c>
    </row>
  </sheetData>
  <mergeCells count="1">
    <mergeCell ref="B2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C3DC4-32CC-4B3B-A1D0-E2ECD8B8E015}">
  <dimension ref="B2:C10"/>
  <sheetViews>
    <sheetView workbookViewId="0">
      <selection activeCell="C10" sqref="C10"/>
    </sheetView>
  </sheetViews>
  <sheetFormatPr baseColWidth="10" defaultRowHeight="15" x14ac:dyDescent="0.25"/>
  <cols>
    <col min="2" max="2" width="50.5703125" customWidth="1"/>
    <col min="3" max="3" width="21.42578125" customWidth="1"/>
  </cols>
  <sheetData>
    <row r="2" spans="2:3" x14ac:dyDescent="0.25">
      <c r="B2" s="27" t="s">
        <v>116</v>
      </c>
      <c r="C2" s="27"/>
    </row>
    <row r="3" spans="2:3" x14ac:dyDescent="0.25">
      <c r="B3" s="5" t="s">
        <v>100</v>
      </c>
      <c r="C3" s="5" t="s">
        <v>112</v>
      </c>
    </row>
    <row r="4" spans="2:3" x14ac:dyDescent="0.25">
      <c r="B4" s="13" t="s">
        <v>109</v>
      </c>
      <c r="C4" s="17">
        <f>'Presupuesto de costes'!C5/('Presupuesto de costes'!C11-'Presupuesto de costes'!C4)*'Presupuesto de costes'!C14</f>
        <v>25326.607579030555</v>
      </c>
    </row>
    <row r="5" spans="2:3" x14ac:dyDescent="0.25">
      <c r="B5" s="13" t="s">
        <v>56</v>
      </c>
      <c r="C5" s="17">
        <f>'Presupuesto de costes'!C6/('Presupuesto de costes'!C11-'Presupuesto de costes'!C4)*'Presupuesto de costes'!C14</f>
        <v>45229.040350711817</v>
      </c>
    </row>
    <row r="6" spans="2:3" x14ac:dyDescent="0.25">
      <c r="B6" s="13" t="s">
        <v>73</v>
      </c>
      <c r="C6" s="17">
        <f>'Presupuesto de costes'!C7/('Presupuesto de costes'!C11-'Presupuesto de costes'!C4)*'Presupuesto de costes'!C14</f>
        <v>16133.16398183735</v>
      </c>
    </row>
    <row r="7" spans="2:3" x14ac:dyDescent="0.25">
      <c r="B7" s="13" t="s">
        <v>74</v>
      </c>
      <c r="C7" s="17">
        <f>'Presupuesto de costes'!C8/('Presupuesto de costes'!C11-'Presupuesto de costes'!C4)*'Presupuesto de costes'!C14</f>
        <v>9630.799918290857</v>
      </c>
    </row>
    <row r="8" spans="2:3" x14ac:dyDescent="0.25">
      <c r="B8" s="13" t="s">
        <v>110</v>
      </c>
      <c r="C8" s="17">
        <f>'Presupuesto de costes'!C9/('Presupuesto de costes'!C11-'Presupuesto de costes'!C4)*'Presupuesto de costes'!C14</f>
        <v>9305.3353500838584</v>
      </c>
    </row>
    <row r="9" spans="2:3" x14ac:dyDescent="0.25">
      <c r="B9" s="32"/>
      <c r="C9" s="31"/>
    </row>
    <row r="10" spans="2:3" x14ac:dyDescent="0.25">
      <c r="B10" s="10" t="s">
        <v>115</v>
      </c>
      <c r="C10" s="21">
        <f>SUM(C4:C8)</f>
        <v>105624.94717995444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Definición de la empresa</vt:lpstr>
      <vt:lpstr>Partida 1 - Gestión proyecto</vt:lpstr>
      <vt:lpstr>Partida 2 - Análisis sistema</vt:lpstr>
      <vt:lpstr>Partida 3 - Desarrollo</vt:lpstr>
      <vt:lpstr>Partida 4 - Despliegue</vt:lpstr>
      <vt:lpstr>Partida 5 - Material</vt:lpstr>
      <vt:lpstr>Partida 6 - Otros costes</vt:lpstr>
      <vt:lpstr>Presupuesto de costes</vt:lpstr>
      <vt:lpstr>Presupuesto de 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 Moltó Álvarez</dc:creator>
  <cp:lastModifiedBy>Ángel Moltó Álvarez</cp:lastModifiedBy>
  <dcterms:created xsi:type="dcterms:W3CDTF">2026-06-17T18:13:27Z</dcterms:created>
  <dcterms:modified xsi:type="dcterms:W3CDTF">2026-06-23T14:48:57Z</dcterms:modified>
</cp:coreProperties>
</file>